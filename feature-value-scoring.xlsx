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Config" sheetId="2" state="visible" r:id="rId4"/>
    <sheet name="Rubric" sheetId="3" state="visible" r:id="rId5"/>
    <sheet name="Scoring" sheetId="4" state="visible" r:id="rId6"/>
    <sheet name="Data Dictionary"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<sst xmlns="http://schemas.openxmlformats.org/spreadsheetml/2006/main" count="497" uniqueCount="382">
  <si>
    <t xml:space="preserve">FEATURE VALUE SCORING FRAMEWORK</t>
  </si>
  <si>
    <t xml:space="preserve">Purpose: a shared scoring surface completed by humans and/or a market research agent, then consumed by feature prioritization agents. Also tracks customer-reported defects and internally-found bugs (Item Type = Defect) alongside new-feature ideas, so both compete in one ranked backlog.</t>
  </si>
  <si>
    <t xml:space="preserve">HOW TO USE</t>
  </si>
  <si>
    <t xml:space="preserve">1. Add one row per feature idea on the Scoring sheet. Feature ID and Name are required; link the feature brief in the Brief Reference column.</t>
  </si>
  <si>
    <t xml:space="preserve">2. For Feature rows: score the eight input dimensions (columns G-N) on a 1-10 scale using the anchors on the Rubric sheet. For Defect rows: set Item Type (V), Defect Source (W), and Severity (X) instead - see the DEFECTS &amp; BUGS section below.</t>
  </si>
  <si>
    <t xml:space="preserve">3. Record evidence sources and rationale (columns O-P). Agents must cite sources; humans should note the basis for judgment calls.</t>
  </si>
  <si>
    <t xml:space="preserve">4. Columns Q-U calculate automatically. Do not type into them.</t>
  </si>
  <si>
    <t xml:space="preserve">5. Adjust dimension weights on the Config sheet to match product strategy. Weights must sum to 100% (checked in Config!B9).</t>
  </si>
  <si>
    <t xml:space="preserve">SCORING MODEL</t>
  </si>
  <si>
    <t xml:space="preserve">Weighted Value = SUM(dimension score x weight) across Reach, User Value, Business Value, Strategic Alignment, Time Sensitivity.</t>
  </si>
  <si>
    <t xml:space="preserve">Priority Score (0-100) = MIN(100, Weighted Value x Confidence Multiplier x Risk Factor / Effort x 20). The cap only binds for very low effort (1 = hours-to-a-day on the 10-pt scale).</t>
  </si>
  <si>
    <t xml:space="preserve">Confidence and Risk map to multipliers via lookup tables on the Config sheet, so a low-confidence or high-risk idea is discounted rather than excluded.</t>
  </si>
  <si>
    <t xml:space="preserve">FOR AGENTS (machine-readable contract)</t>
  </si>
  <si>
    <t xml:space="preserve">The Data Dictionary sheet defines every field: stable field_id, type, allowed values, and which actor (human / research agent / formula) owns it.</t>
  </si>
  <si>
    <t xml:space="preserve">Market research agents fill only INPUT fields and must populate evidence_sources. Prioritization agents read OUTPUT fields and must not overwrite formulas.</t>
  </si>
  <si>
    <t xml:space="preserve">Rows 4-7 of the Scoring sheet contain worked Feature examples; row 8 is a worked Defect example. Clear or overwrite them with real data.</t>
  </si>
  <si>
    <t xml:space="preserve">DEFECTS &amp; BUGS</t>
  </si>
  <si>
    <t xml:space="preserve">1. Log a defect or bug as its own row on the Scoring sheet: Item Type (column V) = Defect, Defect Source (W) = Customer-Reported or Internal, Severity (X, still 1-5, see Rubric) instead of the eight feature dimensions.</t>
  </si>
  <si>
    <t xml:space="preserve">2. Defects use a severity-driven fast-track priority formula (Config sheet): Severity base score x Reach factor x Confidence multiplier, capped at 100. It bypasses Weighted Value, Strategic Alignment, and the Effort divisor entirely - see Priority Score in the Data Dictionary.</t>
  </si>
  <si>
    <t xml:space="preserve">3. Reach (G) and Confidence (L) are still scored for defects using the same Rubric anchors, reinterpreted: Reach = share of customers who hit the bug; Confidence = strength of the repro/evidence behind Severity and Reach.</t>
  </si>
  <si>
    <t xml:space="preserve">4. Effort (M) and Risk (N) are optional for Defect rows - useful for fix-effort and regression-risk planning, but not part of the Defect priority formula.</t>
  </si>
  <si>
    <t xml:space="preserve">5. Status lifecycle differs by Item Type - see the Data Dictionary Status row for the full enum and which subset applies to Feature vs Defect rows.</t>
  </si>
  <si>
    <t xml:space="preserve">6. Once a Defect row is Scored or Prioritized, run /fix-defect-or-bug &lt;feature_id&gt; to dispatch the fix pipeline (reproduce, fail a regression test, fix, verify, review).</t>
  </si>
  <si>
    <t xml:space="preserve">CONFIGURATION - dimension weights and multiplier maps</t>
  </si>
  <si>
    <t xml:space="preserve">Value Dimension Weights (must sum to 100%)</t>
  </si>
  <si>
    <t xml:space="preserve">Reach</t>
  </si>
  <si>
    <t xml:space="preserve">User Value</t>
  </si>
  <si>
    <t xml:space="preserve">Business Value</t>
  </si>
  <si>
    <t xml:space="preserve">Strategic Alignment</t>
  </si>
  <si>
    <t xml:space="preserve">Time Sensitivity</t>
  </si>
  <si>
    <t xml:space="preserve">Weight check</t>
  </si>
  <si>
    <t xml:space="preserve">Confidence Multiplier Map</t>
  </si>
  <si>
    <t xml:space="preserve">Risk Factor Map</t>
  </si>
  <si>
    <t xml:space="preserve">Defect Severity -&gt; Priority Base Map</t>
  </si>
  <si>
    <t xml:space="preserve">Defect Reach -&gt; Multiplier Map</t>
  </si>
  <si>
    <t xml:space="preserve">Confidence score (1-10) -&gt; multiplier applied to Weighted Value (RICE-style discount for weak evidence). Even keys carry the pre-2026-07 5-pt map values (old score x2 = same multiplier).</t>
  </si>
  <si>
    <t xml:space="preserve">Risk score (1-10) -&gt; factor applied to Weighted Value (higher risk = larger discount). Even keys carry the pre-2026-07 5-pt map values.</t>
  </si>
  <si>
    <t xml:space="preserve">Defect severity (still 1-5; industry Sev alignment) -&gt; base priority-score map (severity fast-track model; bypasses weighted_value, strategic_alignment, and effort entirely).</t>
  </si>
  <si>
    <t xml:space="preserve">Defect reach (1-10) -&gt; small multiplier (customer breadth is secondary to severity in the fast-track model, unlike the Feature formula where it's a primary weighted dimension).</t>
  </si>
  <si>
    <t xml:space="preserve">defect_priority_score = MIN(100, ROUND(severity_base x reach_factor x confidence_mult, 1)). confidence_mult is the same lookup used by the Feature formula (Confidence Multiplier Map above).</t>
  </si>
  <si>
    <t xml:space="preserve">SCORING RUBRIC - anchors for each 1-10 dimension (even scores = the pre-2026-07 5-pt anchors; Severity stays 1-5)</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</si>
  <si>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</si>
  <si>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</si>
  <si>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</si>
  <si>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</si>
  <si>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</si>
  <si>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</si>
  <si>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</si>
  <si>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</si>
  <si>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</si>
  <si>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</si>
  <si>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Dimension</t>
  </si>
  <si>
    <t xml:space="preserve">Touches &lt;3% of target users; rare edge case</t>
  </si>
  <si>
    <t xml:space="preserve">Touches &lt;5% of target users or a rare edge case</t>
  </si>
  <si>
    <t xml:space="preserve">Touches 5-10% of users, infrequent use</t>
  </si>
  <si>
    <t xml:space="preserve">Touches 5-15% of users, or infrequent use</t>
  </si>
  <si>
    <t xml:space="preserve">Touches 15-25% of users with regular use</t>
  </si>
  <si>
    <t xml:space="preserve">Touches 15-40% of users with regular use</t>
  </si>
  <si>
    <t xml:space="preserve">Touches 40-55% of users frequently</t>
  </si>
  <si>
    <t xml:space="preserve">Touches 40-70% of users frequently</t>
  </si>
  <si>
    <t xml:space="preserve">Touches 70-85% of users in daily workflows</t>
  </si>
  <si>
    <t xml:space="preserve">Touches &gt;70% of users in core daily workflows</t>
  </si>
  <si>
    <t xml:space="preserve">Purely cosmetic; no user would notice its absence</t>
  </si>
  <si>
    <t xml:space="preserve">Cosmetic; no measurable pain relieved</t>
  </si>
  <si>
    <t xml:space="preserve">Minor convenience; trivial workaround</t>
  </si>
  <si>
    <t xml:space="preserve">Minor convenience; mild pain, easy workaround exists</t>
  </si>
  <si>
    <t xml:space="preserve">Real pain, but the workaround is tolerable</t>
  </si>
  <si>
    <t xml:space="preserve">Solves a real pain with a clumsy workaround today</t>
  </si>
  <si>
    <t xml:space="preserve">Frequent pain; workaround is costly or error-prone</t>
  </si>
  <si>
    <t xml:space="preserve">Removes a frequent, significant pain point</t>
  </si>
  <si>
    <t xml:space="preserve">Near top-tier pain, or partially unlocks a new job-to-be-done</t>
  </si>
  <si>
    <t xml:space="preserve">Eliminates a top-3 user pain or unlocks a new job-to-be-done</t>
  </si>
  <si>
    <t xml:space="preserve">No conceivable business effect</t>
  </si>
  <si>
    <t xml:space="preserve">No plausible revenue/retention/cost effect</t>
  </si>
  <si>
    <t xml:space="preserve">Marginal, hard-to-attribute effect</t>
  </si>
  <si>
    <t xml:space="preserve">Indirect or small effect on a business metric</t>
  </si>
  <si>
    <t xml:space="preserve">Measurable effect on a secondary metric</t>
  </si>
  <si>
    <t xml:space="preserve">Measurable effect on conversion, retention, or cost</t>
  </si>
  <si>
    <t xml:space="preserve">Clear contributor to a core business metric</t>
  </si>
  <si>
    <t xml:space="preserve">Clear driver of revenue, expansion, or churn reduction</t>
  </si>
  <si>
    <t xml:space="preserve">Materially shifts a top-line metric or defends key revenue</t>
  </si>
  <si>
    <t xml:space="preserve">Opens a new segment/market or defends a major revenue stream</t>
  </si>
  <si>
    <t xml:space="preserve">Actively works against the product strategy</t>
  </si>
  <si>
    <t xml:space="preserve">Contradicts stated product strategy</t>
  </si>
  <si>
    <t xml:space="preserve">Orthogonal to strategy; slight tension</t>
  </si>
  <si>
    <t xml:space="preserve">Unrelated to strategy; opportunistic</t>
  </si>
  <si>
    <t xml:space="preserve">Tangentially related to a strategic theme</t>
  </si>
  <si>
    <t xml:space="preserve">Loosely supports a strategic theme</t>
  </si>
  <si>
    <t xml:space="preserve">Clearly supports a strategic theme</t>
  </si>
  <si>
    <t xml:space="preserve">Directly advances a current strategic pillar</t>
  </si>
  <si>
    <t xml:space="preserve">Key enabler of a strategic pillar</t>
  </si>
  <si>
    <t xml:space="preserve">Critical-path item for the product vision</t>
  </si>
  <si>
    <t xml:space="preserve">No pressure; waiting costs nothing or value grows</t>
  </si>
  <si>
    <t xml:space="preserve">No time pressure; value stable indefinitely</t>
  </si>
  <si>
    <t xml:space="preserve">Value decays very slowly (multi-year horizon)</t>
  </si>
  <si>
    <t xml:space="preserve">Value decays slowly over years</t>
  </si>
  <si>
    <t xml:space="preserve">Advantage to shipping within ~18 months</t>
  </si>
  <si>
    <t xml:space="preserve">Meaningful advantage to shipping this year</t>
  </si>
  <si>
    <t xml:space="preserve">Competitive/market window within 3 quarters</t>
  </si>
  <si>
    <t xml:space="preserve">Competitive/market window within 2 quarters</t>
  </si>
  <si>
    <t xml:space="preserve">Window within 1 quarter</t>
  </si>
  <si>
    <t xml:space="preserve">Hard deadline (regulation, contract, event) or closing window</t>
  </si>
  <si>
    <t xml:space="preserve">Confidence</t>
  </si>
  <si>
    <t xml:space="preserve">Guesswork; assumptions untested, no evidence sought</t>
  </si>
  <si>
    <t xml:space="preserve">Pure speculation; no supporting evidence</t>
  </si>
  <si>
    <t xml:space="preserve">A single anecdote</t>
  </si>
  <si>
    <t xml:space="preserve">Anecdotes or a single data point</t>
  </si>
  <si>
    <t xml:space="preserve">Multiple converging anecdotes; thin data</t>
  </si>
  <si>
    <t xml:space="preserve">Directional data: some interviews, analogous benchmarks</t>
  </si>
  <si>
    <t xml:space="preserve">Good data with known gaps</t>
  </si>
  <si>
    <t xml:space="preserve">Solid data: surveys, usage analytics, competitor evidence</t>
  </si>
  <si>
    <t xml:space="preserve">Strong multi-source data; small residual unknowns</t>
  </si>
  <si>
    <t xml:space="preserve">Validated: experiments, pilots, or committed customer demand</t>
  </si>
  <si>
    <t xml:space="preserve">Effort</t>
  </si>
  <si>
    <t xml:space="preserve">Hours to a day; trivial change</t>
  </si>
  <si>
    <t xml:space="preserve">Days; single dev, no design or new infra</t>
  </si>
  <si>
    <t xml:space="preserve">About a week; single dev</t>
  </si>
  <si>
    <t xml:space="preserve">1-2 weeks; small change, minimal coordination</t>
  </si>
  <si>
    <t xml:space="preserve">2-3 weeks; light cross-discipline coordination</t>
  </si>
  <si>
    <t xml:space="preserve">3-6 weeks; multi-discipline, some unknowns</t>
  </si>
  <si>
    <t xml:space="preserve">6-10 weeks; significant unknowns</t>
  </si>
  <si>
    <t xml:space="preserve">1-2 quarters; significant architecture or integration work</t>
  </si>
  <si>
    <t xml:space="preserve">2-3 quarters; major cross-team program</t>
  </si>
  <si>
    <t xml:space="preserve">&gt;3 quarters; major platform work or new subsystem</t>
  </si>
  <si>
    <t xml:space="preserve">Risk</t>
  </si>
  <si>
    <t xml:space="preserve">Fully understood; trivially reversible</t>
  </si>
  <si>
    <t xml:space="preserve">Well-understood; easily reversible</t>
  </si>
  <si>
    <t xml:space="preserve">Small unknowns; cheap to reverse</t>
  </si>
  <si>
    <t xml:space="preserve">Minor unknowns; reversible with modest cost</t>
  </si>
  <si>
    <t xml:space="preserve">Moderate unknowns or a soft third-party dependency</t>
  </si>
  <si>
    <t xml:space="preserve">Some technical/market unknowns or third-party dependency</t>
  </si>
  <si>
    <t xml:space="preserve">Multiple unknowns; reversal is painful</t>
  </si>
  <si>
    <t xml:space="preserve">Hard-to-reverse decision or fragile dependencies</t>
  </si>
  <si>
    <t xml:space="preserve">Effectively one-way without major cost</t>
  </si>
  <si>
    <t xml:space="preserve">One-way door: public API, data model, pricing, or compliance exposure</t>
  </si>
  <si>
    <t xml:space="preserve">Severity (Defect rows only)</t>
  </si>
  <si>
    <t xml:space="preserve">Cosmetic; no functional impact, no workaround needed</t>
  </si>
  <si>
    <t xml:space="preserve">Minor; workaround exists, low friction (industry Sev4)</t>
  </si>
  <si>
    <t xml:space="preserve">Moderate; feature degraded or blocked with a workaround (industry Sev3)</t>
  </si>
  <si>
    <t xml:space="preserve">Major; feature unusable, no reasonable workaround, no data loss (industry Sev2)</t>
  </si>
  <si>
    <t xml:space="preserve">Critical; data loss, security exposure, or outage blocking core workflows (industry Sev1)</t>
  </si>
  <si>
    <t xml:space="preserve">Severity stays on a 1-5 scale (industry Sev4...Sev1 alignment); columns 6-10 do not apply.</t>
  </si>
  <si>
    <t xml:space="preserve">FEATURE VALUE SCORING</t>
  </si>
  <si>
    <t xml:space="preserve">Blue columns = inputs (human or research agent). Grey columns = calculated; do not edit. Anchors: see Rubric sheet. Item Type (V) selects the scoring path: Feature uses the weighted-value formula (Q-U); Defect uses the severity fast-track formula (see Config sheet), leaving Weighted Value (Q) blank.</t>
  </si>
  <si>
    <t xml:space="preserve">Feature ID</t>
  </si>
  <si>
    <t xml:space="preserve">Feature Name</t>
  </si>
  <si>
    <t xml:space="preserve">Brief Reference</t>
  </si>
  <si>
    <t xml:space="preserve">Status</t>
  </si>
  <si>
    <t xml:space="preserve">Scored By</t>
  </si>
  <si>
    <t xml:space="preserve">Date Scored</t>
  </si>
  <si>
    <t xml:space="preserve">Reach (1-10)</t>
  </si>
  <si>
    <t xml:space="preserve">User Value (1-10)</t>
  </si>
  <si>
    <t xml:space="preserve">Business Value (1-10)</t>
  </si>
  <si>
    <t xml:space="preserve">Strategic Alignment (1-10)</t>
  </si>
  <si>
    <t xml:space="preserve">Time Sensitivity (1-10)</t>
  </si>
  <si>
    <t xml:space="preserve">Confidence (1-10)</t>
  </si>
  <si>
    <t xml:space="preserve">Effort (1-10)</t>
  </si>
  <si>
    <t xml:space="preserve">Risk (1-10)</t>
  </si>
  <si>
    <t xml:space="preserve">Evidence &amp; Sources</t>
  </si>
  <si>
    <t xml:space="preserve">Rationale Notes</t>
  </si>
  <si>
    <t xml:space="preserve">Weighted Value</t>
  </si>
  <si>
    <t xml:space="preserve">Confidence Mult</t>
  </si>
  <si>
    <t xml:space="preserve">Risk Factor</t>
  </si>
  <si>
    <t xml:space="preserve">Priority Score (0-100)</t>
  </si>
  <si>
    <t xml:space="preserve">Rank</t>
  </si>
  <si>
    <t xml:space="preserve">Item Type</t>
  </si>
  <si>
    <t xml:space="preserve">Defect Source</t>
  </si>
  <si>
    <t xml:space="preserve">Severity (1-5)</t>
  </si>
  <si>
    <t xml:space="preserve">F-001</t>
  </si>
  <si>
    <t xml:space="preserve">Adhere to a Design System</t>
  </si>
  <si>
    <t xml:space="preserve">briefs/F-001-adhere-to-design-system.md</t>
  </si>
  <si>
    <t xml:space="preserve">Prioritized</t>
  </si>
  <si>
    <t xml:space="preserve">Market Research Agent</t>
  </si>
  <si>
    <t xml:space="preserve">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</si>
  <si>
    <t xml:space="preserve">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</si>
  <si>
    <t xml:space="preserve">Feature</t>
  </si>
  <si>
    <t xml:space="preserve">F-002</t>
  </si>
  <si>
    <t xml:space="preserve">Set a customer specific system prompt</t>
  </si>
  <si>
    <t xml:space="preserve">briefs/F-002-customer-system-prompt.md</t>
  </si>
  <si>
    <t xml:space="preserve">2026-07-07</t>
  </si>
  <si>
    <t xml:space="preserve">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</si>
  <si>
    <t xml:space="preserve">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</si>
  <si>
    <t xml:space="preserve">F-003</t>
  </si>
  <si>
    <t xml:space="preserve">Set a workspace level system prompt</t>
  </si>
  <si>
    <t xml:space="preserve">briefs/F-003-workspace-system-prompt.md</t>
  </si>
  <si>
    <t xml:space="preserve">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</si>
  <si>
    <t xml:space="preserve">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</si>
  <si>
    <t xml:space="preserve">F-004</t>
  </si>
  <si>
    <t xml:space="preserve">Implement a proper production ready eventbus to replace the inproc bus currently in use</t>
  </si>
  <si>
    <t xml:space="preserve">briefs/F-004-production-event-bus.md</t>
  </si>
  <si>
    <t xml:space="preserve">Implemented</t>
  </si>
  <si>
    <t xml:space="preserve">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</si>
  <si>
    <t xml:space="preserve">[Human]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</si>
  <si>
    <t xml:space="preserve">D-001</t>
  </si>
  <si>
    <t xml:space="preserve">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</si>
  <si>
    <t xml:space="preserve">https://github.com/dispatch-derek/admin-console/issues/5</t>
  </si>
  <si>
    <t xml:space="preserve">Hybrid</t>
  </si>
  <si>
    <t xml:space="preserve">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</si>
  <si>
    <t xml:space="preserve">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</si>
  <si>
    <t xml:space="preserve">Defect</t>
  </si>
  <si>
    <t xml:space="preserve">Internal</t>
  </si>
  <si>
    <t xml:space="preserve">F-005</t>
  </si>
  <si>
    <t xml:space="preserve">Per-Customer Feature Toggle Console</t>
  </si>
  <si>
    <t xml:space="preserve">briefs/F-005-per-customer-feature-toggle-console.md</t>
  </si>
  <si>
    <t xml:space="preserve">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</si>
  <si>
    <t xml:space="preserve">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</si>
  <si>
    <t xml:space="preserve">D-002</t>
  </si>
  <si>
    <t xml:space="preserve">Light-theme secondary text (--theme-text-secondary #7a7d7e) fails WCAG 2.1 AA contrast (4.15:1 &lt; 4.5:1) on all consumers incl. F-005 provenance/label text; token is byte-pinned by F-001 gates so the fix is an F-001-scope design-system revision</t>
  </si>
  <si>
    <t xml:space="preserve">https://github.com/dispatch-derek/admin-console/issues/7</t>
  </si>
  <si>
    <t xml:space="preserve">2026-07-13</t>
  </si>
  <si>
    <t xml:space="preserve">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</si>
  <si>
    <t xml:space="preserve">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</si>
  <si>
    <t xml:space="preserve">F-006</t>
  </si>
  <si>
    <t xml:space="preserve">Local-first per-workspace LLM observability (usage, performance, resource load)</t>
  </si>
  <si>
    <t xml:space="preserve">briefs/F-006-local-first-workspace-llm-observability.md</t>
  </si>
  <si>
    <t xml:space="preserve">2026-07-19</t>
  </si>
  <si>
    <t xml:space="preserve">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 | Addendum 2026-07-19: brief Business Rationale revised — PO verbatim ruling that observability data benefits revenue via customer-facing reports/dashboards (briefs/F-006-local-first-workspace-llm-observability.md, 'Product-owner addition, 2026-07-19' + packaged/paid-vs-included Open Question).</t>
  </si>
  <si>
    <t xml:space="preserve">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 | [re-score 2026-07-19, Hybrid] business_value 5-&gt;6: PO ruling reframes billing exclusion — metering out, but customer-facing reports/dashboards = revenue-benefiting retention capability (anchor 6 'conversion, retention, or cost'); held below 7+ (single-stakeholder hypothesis, no adoption/willingness-to-pay evidence, packaged-vs-included unresolved). Confidence unchanged at 5. | Human override 2026-07-19: Deferred -&gt; Prioritized by product owner (revenue-via-reporting thesis); prioritizer's sequencing caveats stand (capture point unresolved, GTM undated).</t>
  </si>
  <si>
    <t xml:space="preserve">D-003</t>
  </si>
  <si>
    <t xml:space="preserve">Workspace chat history page is leaking json of the chat history onto the page vs laying out the data in a tabular format for human viewing.</t>
  </si>
  <si>
    <t xml:space="preserve">https://github.com/dispatch-derek/admin-console/issues/9</t>
  </si>
  <si>
    <t xml:space="preserve">2026-07-15</t>
  </si>
  <si>
    <t xml:space="preserve">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</si>
  <si>
    <t xml:space="preserve">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</si>
  <si>
    <t xml:space="preserve">F-007</t>
  </si>
  <si>
    <t xml:space="preserve">Multi-language and number format internationalization support in the user interface</t>
  </si>
  <si>
    <t xml:space="preserve">briefs/F-007-ui-internationalization.md</t>
  </si>
  <si>
    <t xml:space="preserve">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</si>
  <si>
    <t xml:space="preserve">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</si>
  <si>
    <t xml:space="preserve">D-004</t>
  </si>
  <si>
    <t xml:space="preserve">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</si>
  <si>
    <t xml:space="preserve">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</si>
  <si>
    <t xml:space="preserve">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</si>
  <si>
    <t xml:space="preserve">F-008</t>
  </si>
  <si>
    <t xml:space="preserve">System-wide backups on schedule</t>
  </si>
  <si>
    <t xml:space="preserve">briefs/F-008-system-wide-scheduled-backups.md</t>
  </si>
  <si>
    <t xml:space="preserve">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</si>
  <si>
    <t xml:space="preserve">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</si>
  <si>
    <t xml:space="preserve">D-005</t>
  </si>
  <si>
    <t xml:space="preserve">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</si>
  <si>
    <t xml:space="preserve">https://github.com/dispatch-derek/admin-console/issues/10</t>
  </si>
  <si>
    <t xml:space="preserve">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</si>
  <si>
    <t xml:space="preserve">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</si>
  <si>
    <t xml:space="preserve">D-006</t>
  </si>
  <si>
    <t xml:space="preserve">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</si>
  <si>
    <t xml:space="preserve">https://github.com/dispatch-derek/admin-console/issues/16</t>
  </si>
  <si>
    <t xml:space="preserve">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</si>
  <si>
    <t xml:space="preserve">[intake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t>
  </si>
  <si>
    <t xml:space="preserve">F-009</t>
  </si>
  <si>
    <t xml:space="preserve">Console login for console-created admin users</t>
  </si>
  <si>
    <t xml:space="preserve">briefs/F-009-console-login-for-console-created-admin-users.md</t>
  </si>
  <si>
    <t xml:space="preserve">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</si>
  <si>
    <t xml:space="preserve">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</si>
  <si>
    <t xml:space="preserve">F-010</t>
  </si>
  <si>
    <t xml:space="preserve">Deliver admin.* events to customer-web-app: add its ingest endpoint to the relay peer list</t>
  </si>
  <si>
    <t xml:space="preserve">briefs/F-010-deliver-admin-events-to-customer-web-app.md</t>
  </si>
  <si>
    <t xml:space="preserve">2026-07-20</t>
  </si>
  <si>
    <t xml:space="preserve">RE-VERIFIED 2026-07-20 (admin-console @2da1000, cwa @6044b46). STRUCTURAL (hard, first-hand): bff/src/relay/http-peer-transport.ts sends exactly 2 headers (content-type, x-event-delivery-id, const :10); grep secret/bearer/hmac/authorization/credential across bff/src/relay/ + bff/src/events/ = 0 credential code paths; bff/src/relay/config.ts exports 8 keys, none a secret; config.ts:13-17 split/trim/filter only, 0 scheme validation; config.ts:27-34 production hard-refuse on empty peer list. bff/.env:25 EVENT_BUS_MODE=inproc, 0 EVENT_BUS_URL lines. catalog.ts = 21 admin.* names, 5 admin.user.* (:15-19) = 23.8% of NAMES (not users). CONSUMER ABSENT: 0 hits for events/ingest in cwa bff/src (41 files, 9 route modules); spec-text only (cwa specs/F-005:133,187,192,272,591). cwa workbook 2026-07-20: F-005 In Progress rank4, F-007 Deferred rank2. Runbooks: 3 exist, 0 mentions of peer/secret/rotation in any. Test surface: 20 files bff/test/relay/; delivery-id assertion at http-peer-transport.test.ts:106 is containment, not exact-header-set. DEMAND ABSENT: admin-console gh issue list --state all = 5 issues, 0 related; cwa gh issue list = 0 issues; no analytics artifacts. October 2026: 29 matches/10 md files, 0 connect the date to this row.</t>
  </si>
  <si>
    <t xml:space="preserve">Scored 2026-07-20 by re-verification, not inherited from the brief's 2026-07-19 snapshot; nothing material changed (no merges beyond the brief commit 2da1000, no cwa commits since 6044b46). reach=2: measured affected share today is 0% (no peer configured, consumer endpoint nonexistent). Declined to score off the 23.8% admin.user.* figure - that is a share of event NAMES, not users. Calibrates equal to cwa F-007 (reach=2), the mirror-image producer-side row. user_value=5: manual dual-provisioning in cwa is a real but tolerable workaround; no frequency measurement exists, so 4 is also defensible. business_value=4: effect is real but routed entirely through another repo's work; no metric attaches on this side; no revenue/usage/demand record. time_sensitivity=6: October 2026 is an internal company goal, not external/regulatory, concrete date unpinned - anchor 9/10 excluded outright. confidence=5: evidence quality is split - structural claims are hard first-hand fact, value-side claims have zero supporting data (no analytics/tickets/interviews/benchmarks). Value not inflated to offset; multiplier carries it. AGENT DISSENT FROM BRIEF (no score impact): the row's own note reads 'Config-only on the relay side ... PLUS credential provisioning/runbook' - it already scoped credential work in, so the brief's claim that the note is contradicted is overstated; the code-path gap itself is real and confirmed. Also: brief's '0 of 7 cwa rows Implemented on the ingest side' is imprecise (F-001 IS Implemented, just not the ingest endpoint). CARRIED FOR HUMAN (no proposal): D-006's recorded reach=1 basis (inproc, empty peer list, transport inactive) would stop describing reality if F-010 puts a live peer on the wire; D-006/GH#16 record no dependency on F-010. Credential header and env-var name unnamed on both sides = most likely source of a silent 401 permanent-park loop. COULD NOT VERIFY: the 2026-07-19 product-owner rulings exist only as prose inside briefs - no ticket/issue/decision-log artifact behind them.</t>
  </si>
  <si>
    <t xml:space="preserve">F-011</t>
  </si>
  <si>
    <t xml:space="preserve">Dashboard and reports for visualizing the data coming in as customer.* events from customer-web-app</t>
  </si>
  <si>
    <t xml:space="preserve">briefs/F-011-customer-event-dashboards-and-reports.md</t>
  </si>
  <si>
    <t xml:space="preserve">Deferred</t>
  </si>
  <si>
    <t xml:space="preserve">RE-VERIFIED 2026-07-20 first-hand. CAPABILITY GAP (confirmed): grep 'customer.' in bff/src = 0 matches; grep -i ingest in bff/src = 0 matches; 8 route files, 0 ingest paths; bff/src/store/db.ts = 11 CREATE TABLE IF NOT EXISTS, 0 storing externally-received events; web/package.json:14-18 = 3 production deps (@phosphor-icons/react, react, react-dom), 0 charting libs; 0 chart/plot/sparkline components across 132 files in web/src; bff/src/relay/config.ts:53-54 EVENT_BUS_RETENTION_MS 7d + PRUNE_EVERY_CYCLES 3600 are OUTBOUND-scoped only, no inbound retention config exists. cwa bff/src/events/catalog.ts = exactly 13 customer.* names across 7 families. UPSTREAM: cwa workbook 2026-07-20 F-005 In Progress rank4, F-007 Deferred rank2, both date_scored 2026-07-19; cwa briefs/F-007:38-42 'zero consumers ... running in either repo today', ~:134 'not yet tracked as a feature'. DEMAND ABSENT: gh issue list --state all (2026-07-20) = 5 issues (#5,#7,#9,#10,#16), 0 mentioning dashboards/reports/charts/visualization; 0 support tickets, 0 usage analytics, 0 interview records in either repo; 0 references to SOC2/GDPR/HIPAA/ISO and 0 stated retention obligations. PO intent statement: briefs/F-006-local-first-workspace-llm-observability.md:65 (verbatim, 2026-07-19, about F-006's observability data). ANALOGOUS BENCHMARK ONLY (not product demand): enterprise audit-log/activity visibility as a B2B buyer requirement - ssojet.com/blog/critical-audit-log-events-b2b-saas-enterprise; securityboulevard.com 2026-04.</t>
  </si>
  <si>
    <t xml:space="preserve">Scored 2026-07-20 by re-verification. All load-bearing brief claims CONFIRMED. Deltas since the brief (no score impact): web/src is 132 files not 128; F-006 business_value raised 5-&gt;6 (commit 5fb8d69). CORRECTION: brief's '30 registered HTTP routes' could not be reproduced - actual count is 52 route-method registrations across the 8 route files; the load-bearing claim (0 ingest paths) holds regardless. reach=5: the denominator is NOT establishable - no user/seat/role count exists in either repo. Three audiences are named by PO ruling but sized by nothing; only ops/support is plausibly regular (compliance is episodic, product reporting periodic). 4-7 all defensible; uncertainty carried in confidence, not in an inflated reach. user_value=7: capability absence is total (no workaround at all), which by anchor text points at the 9-10 band - DECLINED deliberately, because anchors 8/9/10 assert an OBSERVED pain magnitude and no such observation exists. 7 is the highest anchor reachable without asserting pain nobody has recorded. business_value=5: deliberately BELOW F-006's 6. F-006 carries 6 on the strength of the same PO sentence; that sentence is on-point for F-006 and only inherited here, so scoring 6 would double-count one sentence across two rows. time_sensitivity=5: October 2026 is an internal, date-unpinned goal (anchor 10 requires a hard external deadline - not the case); tie-break down from 6 because the row sits behind a Deferred upstream and shipping sooner is largely not within its control. confidence=4: decisive finding is that all three demand citations (F-011 audience ruling, F-006 revenue statement, cwa F-007 ruling (d)) originate from the SAME product owner on the SAME day (2026-07-19) - one source cited three times, so anchor 5's 'multiple converging anecdotes' is not met. No independent corroboration of demand exists; only of the capability gap. Values neither inflated nor deflated; the multiplier carries it. COULD NOT VERIFY: brief's rank figures (formula columns, no cached values pre-recalc).</t>
  </si>
  <si>
    <t xml:space="preserve">F-012</t>
  </si>
  <si>
    <t xml:space="preserve">Admin-console document upload path: raw binary file ingestion</t>
  </si>
  <si>
    <t xml:space="preserve">briefs/F-012-admin-console-document-upload-path.md</t>
  </si>
  <si>
    <t xml:space="preserve">Brief Drafted</t>
  </si>
  <si>
    <t xml:space="preserve">[from customer-web-app F-002 brief, 2026-07-20] customer-web-app is drafting F-002 (Raw document upload, multipart binary): its Manage and Chat screens already have file-input UI that collects a file selection but only transmits the filename, never bytes — no multipart handler or dependency exists in cwa's bff/src, and cwa's PUT /api/topics/:id/knowledge is reference-only ({adds,deletes} string lists). F-002's own discovery scan checked this repo too: admin-console's PUT /api/workspaces/:id/knowledge is the identical reference-only shape, and the engine adapter's 28 methods include no byte-upload method — documents currently enter the engine via a mechanism outside BOTH BFF codebases. F-002's Problem section names this directly as an open question: 'What is the engine's actual upload interface?' This row tracks the admin-console/engine-side prerequisite — a genuine content-byte upload path (multipart intake + per-file size gate + forwarding to the engine) — that cwa's F-002 would need to forward to, whichever BFF(s) end up exposing it. Scope and ownership (does this belong here, in cwa, or in the engine itself) is an open question shared with F-002's brief; not yet resolved. Ready for /write-feature-brief.</t>
  </si>
  <si>
    <t xml:space="preserve">F-013</t>
  </si>
  <si>
    <t xml:space="preserve">Instance notice authoring and admin.notice.* event emission</t>
  </si>
  <si>
    <t xml:space="preserve">briefs/F-013-instance-notice-authoring.md</t>
  </si>
  <si>
    <t xml:space="preserve">[from customer-web-app F-003 brief, 2026-07-20, human ruling] Product-owner ruling: the correct author of customer-web-app (cwa) instance notices is the admin user working in admin-console, not cwa's own admin. cwa's F-003 (rewritten same session) becomes a pure event-consumer that projects admin-console-authored notice content into cwa's already-working reader surfaces (login banner, sidebar unread state, mobile notice list — all confirmed live). This row is the producer side F-003 depends on and does not build. Scope: (1) an admin-console data model + admin-gated authoring UI for instance notices (compose/publish/retire) — admin-console confirmed 2026-07-20 to have ZERO existing notice-related capability (no data model, API, UI, or event); (2) emit a new admin.notice.* event family (created/updated/retired, exact names TBD) over admin-console's existing F-004 production event relay, following the SAME pattern already proven by admin.user.* events (F-004 producer) consumed by cwa's F-005 (ingest endpoint, shared-secret auth, delivery-id dedupe, projection). cwa's F-003 open questions relevant here: whether the event carries full notice content inline or a reference (F-005's precedent may apply); whether admin.notice.retired should tombstone vs. hard-delete on the consumer side (bears on this event's semantics too); whether cwa's admin-user population even corresponds to admin-console's (bears on justifying this consolidation at all — RESEARCH should test). Sequencing: cwa's F-003 consumer can't function until this feature emits real events — a build dependency, not a deadline. Ready for /write-feature-brief.</t>
  </si>
  <si>
    <t xml:space="preserve">DATA DICTIONARY - machine-readable field contract for agents</t>
  </si>
  <si>
    <t xml:space="preserve">Column (Scoring sheet)</t>
  </si>
  <si>
    <t xml:space="preserve">field_id</t>
  </si>
  <si>
    <t xml:space="preserve">Type</t>
  </si>
  <si>
    <t xml:space="preserve">Allowed Values / Range</t>
  </si>
  <si>
    <t xml:space="preserve">Owner</t>
  </si>
  <si>
    <t xml:space="preserve">Description</t>
  </si>
  <si>
    <t xml:space="preserve">A: Feature ID</t>
  </si>
  <si>
    <t xml:space="preserve">feature_id</t>
  </si>
  <si>
    <t xml:space="preserve">string</t>
  </si>
  <si>
    <t xml:space="preserve">Unique, pattern F-### (Feature) or D-### (Defect)</t>
  </si>
  <si>
    <t xml:space="preserve">Human</t>
  </si>
  <si>
    <t xml:space="preserve">Stable identifier; used to join to the feature brief (Feature) or defect/bug report (Defect)</t>
  </si>
  <si>
    <t xml:space="preserve">B: Feature Name</t>
  </si>
  <si>
    <t xml:space="preserve">feature_name</t>
  </si>
  <si>
    <t xml:space="preserve">Free text</t>
  </si>
  <si>
    <t xml:space="preserve">Short human-readable name</t>
  </si>
  <si>
    <t xml:space="preserve">C: Brief Reference</t>
  </si>
  <si>
    <t xml:space="preserve">brief_ref</t>
  </si>
  <si>
    <t xml:space="preserve">Path or URL</t>
  </si>
  <si>
    <t xml:space="preserve">Link to the feature brief (Feature rows) or the defect/bug report (Defect rows) the score is based on</t>
  </si>
  <si>
    <t xml:space="preserve">D: Status</t>
  </si>
  <si>
    <t xml:space="preserve">status</t>
  </si>
  <si>
    <t xml:space="preserve">enum</t>
  </si>
  <si>
    <t xml:space="preserve">Idea | Brief Drafted | Reported | Triaged | Scored | Prioritized | In Progress | Implemented | Fixed | Verified | Deferred | Rejected | Won't Fix | Cancelled</t>
  </si>
  <si>
    <t xml:space="preserve">Human / Prioritization agent</t>
  </si>
  <si>
    <t xml:space="preserve">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</si>
  <si>
    <t xml:space="preserve">E: Scored By</t>
  </si>
  <si>
    <t xml:space="preserve">scored_by</t>
  </si>
  <si>
    <t xml:space="preserve">Human | Market Research Agent | Hybrid</t>
  </si>
  <si>
    <t xml:space="preserve">Scorer</t>
  </si>
  <si>
    <t xml:space="preserve">Provenance of the scores in this row</t>
  </si>
  <si>
    <t xml:space="preserve">F: Date Scored</t>
  </si>
  <si>
    <t xml:space="preserve">date_scored</t>
  </si>
  <si>
    <t xml:space="preserve">date</t>
  </si>
  <si>
    <t xml:space="preserve">ISO 8601 (YYYY-MM-DD)</t>
  </si>
  <si>
    <t xml:space="preserve">When scores were last updated; prioritizer may discount stale rows</t>
  </si>
  <si>
    <t xml:space="preserve">G: Reach</t>
  </si>
  <si>
    <t xml:space="preserve">reach</t>
  </si>
  <si>
    <t xml:space="preserve">integer</t>
  </si>
  <si>
    <t xml:space="preserve">1-10 (Rubric sheet)</t>
  </si>
  <si>
    <t xml:space="preserve">Human / Research agent</t>
  </si>
  <si>
    <t xml:space="preserve">Share of users affected and frequency of exposure For Defect rows: share of customers who hit the bug (feeds the fast-track reach factor).</t>
  </si>
  <si>
    <t xml:space="preserve">H: User Value</t>
  </si>
  <si>
    <t xml:space="preserve">user_value</t>
  </si>
  <si>
    <t xml:space="preserve">Depth of pain relieved or capability gained per affected user</t>
  </si>
  <si>
    <t xml:space="preserve">I: Business Value</t>
  </si>
  <si>
    <t xml:space="preserve">business_value</t>
  </si>
  <si>
    <t xml:space="preserve">Revenue, retention, cost, or market-access impact</t>
  </si>
  <si>
    <t xml:space="preserve">J: Strategic Alignment</t>
  </si>
  <si>
    <t xml:space="preserve">strategic_alignment</t>
  </si>
  <si>
    <t xml:space="preserve">Fit with product vision; deliberately human-owned Not used in the Defect priority formula (severity fast-track model).</t>
  </si>
  <si>
    <t xml:space="preserve">K: Time Sensitivity</t>
  </si>
  <si>
    <t xml:space="preserve">time_sensitivity</t>
  </si>
  <si>
    <t xml:space="preserve">Decay of value if shipping is delayed</t>
  </si>
  <si>
    <t xml:space="preserve">L: Confidence</t>
  </si>
  <si>
    <t xml:space="preserve">confidence</t>
  </si>
  <si>
    <t xml:space="preserve">Strength of evidence behind the value scores For Defect rows: strength of repro/evidence backing severity and reach; the same Confidence Mult lookup applies.</t>
  </si>
  <si>
    <t xml:space="preserve">M: Effort</t>
  </si>
  <si>
    <t xml:space="preserve">effort</t>
  </si>
  <si>
    <t xml:space="preserve">Human (engineering)</t>
  </si>
  <si>
    <t xml:space="preserve">Total delivery cost incl. design, QA, maintenance Not used in the Defect priority formula; still collectible for fix-effort planning.</t>
  </si>
  <si>
    <t xml:space="preserve">N: Risk</t>
  </si>
  <si>
    <t xml:space="preserve">risk</t>
  </si>
  <si>
    <t xml:space="preserve">Technical/market/reversibility risk Not used in the Defect priority formula; still collectible for regression-risk planning.</t>
  </si>
  <si>
    <t xml:space="preserve">O: Evidence &amp; Sources</t>
  </si>
  <si>
    <t xml:space="preserve">evidence_sources</t>
  </si>
  <si>
    <t xml:space="preserve">Free text; citations required for agent-scored rows</t>
  </si>
  <si>
    <t xml:space="preserve">What the scores are based on; research agents MUST cite sources</t>
  </si>
  <si>
    <t xml:space="preserve">P: Rationale Notes</t>
  </si>
  <si>
    <t xml:space="preserve">rationale_notes</t>
  </si>
  <si>
    <t xml:space="preserve">Reasoning behind judgment calls and any dissent</t>
  </si>
  <si>
    <t xml:space="preserve">Q: Weighted Value</t>
  </si>
  <si>
    <t xml:space="preserve">weighted_value</t>
  </si>
  <si>
    <t xml:space="preserve">formula</t>
  </si>
  <si>
    <t xml:space="preserve">0.00-5.00</t>
  </si>
  <si>
    <t xml:space="preserve">Formula - do not edit</t>
  </si>
  <si>
    <t xml:space="preserve">SUMPRODUCT of value dimensions and Config weights Blank for Defect rows (the fast-track model doesn't use it).</t>
  </si>
  <si>
    <t xml:space="preserve">R: Confidence Mult</t>
  </si>
  <si>
    <t xml:space="preserve">confidence_multiplier</t>
  </si>
  <si>
    <t xml:space="preserve">0.50-1.00</t>
  </si>
  <si>
    <t xml:space="preserve">Lookup from Config confidence map</t>
  </si>
  <si>
    <t xml:space="preserve">S: Risk Factor</t>
  </si>
  <si>
    <t xml:space="preserve">risk_factor</t>
  </si>
  <si>
    <t xml:space="preserve">0.60-1.00</t>
  </si>
  <si>
    <t xml:space="preserve">Lookup from Config risk map</t>
  </si>
  <si>
    <t xml:space="preserve">T: Priority Score</t>
  </si>
  <si>
    <t xml:space="preserve">priority_score</t>
  </si>
  <si>
    <t xml:space="preserve">0-100</t>
  </si>
  <si>
    <t xml:space="preserve">Feature rows: MIN(100, Weighted Value x Confidence Mult x Risk Factor / Effort x 20). Defect rows: severity-driven fast-track = Severity base score (Config lookup) x Reach factor (Config lookup) x Confidence Mult, capped at 100 - see Config sheet.</t>
  </si>
  <si>
    <t xml:space="preserve">U: Rank</t>
  </si>
  <si>
    <t xml:space="preserve">rank</t>
  </si>
  <si>
    <t xml:space="preserve">1-N</t>
  </si>
  <si>
    <t xml:space="preserve">Descending rank of Priority Score across scored rows</t>
  </si>
  <si>
    <t xml:space="preserve">V: Item Type</t>
  </si>
  <si>
    <t xml:space="preserve">item_type</t>
  </si>
  <si>
    <t xml:space="preserve">Feature | Defect</t>
  </si>
  <si>
    <t xml:space="preserve">Discriminates row type; determines which scoring path applies (weighted-value for Feature, severity fast-track for Defect) and which Status values are valid. Defaults to Feature for legacy rows without this column set.</t>
  </si>
  <si>
    <t xml:space="preserve">W: Defect Source</t>
  </si>
  <si>
    <t xml:space="preserve">defect_source</t>
  </si>
  <si>
    <t xml:space="preserve">Customer-Reported | Internal</t>
  </si>
  <si>
    <t xml:space="preserve">Human / Support</t>
  </si>
  <si>
    <t xml:space="preserve">Only meaningful when item_type=Defect. How the defect was found; blank for Feature rows.</t>
  </si>
  <si>
    <t xml:space="preserve">X: Severity</t>
  </si>
  <si>
    <t xml:space="preserve">severity</t>
  </si>
  <si>
    <t xml:space="preserve">1-5 (Rubric sheet)</t>
  </si>
  <si>
    <t xml:space="preserve">Human (triage)</t>
  </si>
  <si>
    <t xml:space="preserve">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</si>
</sst>
</file>

<file path=xl/styles.xml><?xml version="1.0" encoding="utf-8"?>
<styleSheet xmlns="http://schemas.openxmlformats.org/spreadsheetml/2006/main">
  <numFmts count="7">
    <numFmt numFmtId="164" formatCode="General"/>
    <numFmt numFmtId="165" formatCode="0%"/>
    <numFmt numFmtId="166" formatCode="0.00"/>
    <numFmt numFmtId="167" formatCode="0"/>
    <numFmt numFmtId="168" formatCode="m/d/yyyy"/>
    <numFmt numFmtId="169" formatCode="0.0"/>
    <numFmt numFmtId="170" formatCode="yyyy\-mm\-dd"/>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1"/>
      <name val="Arial"/>
      <family val="0"/>
      <charset val="1"/>
    </font>
    <font>
      <b val="true"/>
      <sz val="11"/>
      <color rgb="FF1F3864"/>
      <name val="Arial"/>
      <family val="0"/>
      <charset val="1"/>
    </font>
    <font>
      <b val="true"/>
      <sz val="12"/>
      <color rgb="FF1F3864"/>
      <name val="Arial"/>
      <family val="0"/>
      <charset val="1"/>
    </font>
    <font>
      <sz val="11"/>
      <color rgb="FF0000FF"/>
      <name val="Arial"/>
      <family val="0"/>
      <charset val="1"/>
    </font>
    <font>
      <i val="true"/>
      <sz val="11"/>
      <name val="Arial"/>
      <family val="0"/>
      <charset val="1"/>
    </font>
    <font>
      <sz val="11"/>
      <color rgb="FF000000"/>
      <name val="Arial"/>
      <family val="0"/>
      <charset val="1"/>
    </font>
    <font>
      <i val="true"/>
      <sz val="9"/>
      <name val="Arial"/>
      <family val="0"/>
      <charset val="1"/>
    </font>
    <font>
      <b val="true"/>
      <sz val="11"/>
      <color rgb="FFFFFFFF"/>
      <name val="Arial"/>
      <family val="0"/>
      <charset val="1"/>
    </font>
    <font>
      <b val="true"/>
      <sz val="11"/>
      <name val="Arial"/>
      <family val="0"/>
      <charset val="1"/>
    </font>
    <font>
      <u val="single"/>
      <sz val="11"/>
      <color theme="10"/>
      <name val="Calibri"/>
      <family val="2"/>
      <charset val="1"/>
    </font>
    <font>
      <sz val="11"/>
      <color rgb="FF0000FF"/>
      <name val="Arial"/>
      <family val="2"/>
      <charset val="1"/>
    </font>
  </fonts>
  <fills count="6">
    <fill>
      <patternFill patternType="none"/>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8"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5" fillId="4" borderId="1" xfId="0" applyFont="true" applyBorder="true" applyAlignment="true" applyProtection="false">
      <alignment horizontal="general" vertical="bottom" textRotation="0" wrapText="true" indent="0" shrinkToFit="false"/>
      <protection locked="true" hidden="false"/>
    </xf>
    <xf numFmtId="170" fontId="8" fillId="4" borderId="1" xfId="0" applyFont="true" applyBorder="true" applyAlignment="true" applyProtection="false">
      <alignment horizontal="general" vertical="bottom" textRotation="0" wrapText="false" indent="0" shrinkToFit="false"/>
      <protection locked="true" hidden="false"/>
    </xf>
    <xf numFmtId="164" fontId="8" fillId="4" borderId="2" xfId="0" applyFont="true" applyBorder="true" applyAlignment="tru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toptal.com/designers/design-systems/benefits-of-design-system" TargetMode="External"/><Relationship Id="rId2" Type="http://schemas.openxmlformats.org/officeDocument/2006/relationships/hyperlink" Target="https://github.com/dispatch-derek/admin-console/issues/7" TargetMode="External"/><Relationship Id="rId3" Type="http://schemas.openxmlformats.org/officeDocument/2006/relationships/hyperlink" Target="https://github.com/dispatch-derek/admin-console/issues/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671875" defaultRowHeight="14.25" customHeight="false" zeroHeight="false" outlineLevelRow="0" outlineLevelCol="0"/>
  <cols>
    <col collapsed="false" customWidth="true" hidden="false" outlineLevel="0" max="1" min="1" style="1" width="110"/>
  </cols>
  <sheetData>
    <row r="1" customFormat="false" ht="18" hidden="false" customHeight="true" outlineLevel="0" collapsed="false">
      <c r="A1" s="2" t="s">
        <v>0</v>
      </c>
    </row>
    <row r="2" customFormat="false" ht="27.75" hidden="false" customHeight="true" outlineLevel="0" collapsed="false">
      <c r="A2" s="3" t="s">
        <v>1</v>
      </c>
    </row>
    <row r="3" customFormat="false" ht="14.25" hidden="false" customHeight="true" outlineLevel="0" collapsed="false">
      <c r="A3" s="3"/>
    </row>
    <row r="4" customFormat="false" ht="14.25" hidden="false" customHeight="true" outlineLevel="0" collapsed="false">
      <c r="A4" s="4" t="s">
        <v>2</v>
      </c>
    </row>
    <row r="5" customFormat="false" ht="27.75" hidden="false" customHeight="true" outlineLevel="0" collapsed="false">
      <c r="A5" s="3" t="s">
        <v>3</v>
      </c>
    </row>
    <row r="6" customFormat="false" ht="27.75" hidden="false" customHeight="true" outlineLevel="0" collapsed="false">
      <c r="A6" s="3" t="s">
        <v>4</v>
      </c>
    </row>
    <row r="7" customFormat="false" ht="27.75" hidden="false" customHeight="true" outlineLevel="0" collapsed="false">
      <c r="A7" s="3" t="s">
        <v>5</v>
      </c>
    </row>
    <row r="8" customFormat="false" ht="14.25" hidden="false" customHeight="true" outlineLevel="0" collapsed="false">
      <c r="A8" s="3" t="s">
        <v>6</v>
      </c>
    </row>
    <row r="9" customFormat="false" ht="27.75" hidden="false" customHeight="true" outlineLevel="0" collapsed="false">
      <c r="A9" s="3" t="s">
        <v>7</v>
      </c>
    </row>
    <row r="10" customFormat="false" ht="14.25" hidden="false" customHeight="true" outlineLevel="0" collapsed="false">
      <c r="A10" s="3"/>
    </row>
    <row r="11" customFormat="false" ht="14.25" hidden="false" customHeight="true" outlineLevel="0" collapsed="false">
      <c r="A11" s="4" t="s">
        <v>8</v>
      </c>
    </row>
    <row r="12" customFormat="false" ht="27.75" hidden="false" customHeight="true" outlineLevel="0" collapsed="false">
      <c r="A12" s="3" t="s">
        <v>9</v>
      </c>
    </row>
    <row r="13" customFormat="false" ht="14.25" hidden="false" customHeight="true" outlineLevel="0" collapsed="false">
      <c r="A13" s="3" t="s">
        <v>10</v>
      </c>
    </row>
    <row r="14" customFormat="false" ht="27.75" hidden="false" customHeight="true" outlineLevel="0" collapsed="false">
      <c r="A14" s="3" t="s">
        <v>11</v>
      </c>
    </row>
    <row r="15" customFormat="false" ht="14.25" hidden="false" customHeight="true" outlineLevel="0" collapsed="false">
      <c r="A15" s="3"/>
    </row>
    <row r="16" customFormat="false" ht="14.25" hidden="false" customHeight="true" outlineLevel="0" collapsed="false">
      <c r="A16" s="4" t="s">
        <v>12</v>
      </c>
    </row>
    <row r="17" customFormat="false" ht="27.75" hidden="false" customHeight="true" outlineLevel="0" collapsed="false">
      <c r="A17" s="3" t="s">
        <v>13</v>
      </c>
    </row>
    <row r="18" customFormat="false" ht="27.75" hidden="false" customHeight="true" outlineLevel="0" collapsed="false">
      <c r="A18" s="3" t="s">
        <v>14</v>
      </c>
    </row>
    <row r="19" customFormat="false" ht="14.25" hidden="false" customHeight="true" outlineLevel="0" collapsed="false">
      <c r="A19" s="3" t="s">
        <v>15</v>
      </c>
    </row>
    <row r="21" customFormat="false" ht="14.25" hidden="false" customHeight="true" outlineLevel="0" collapsed="false">
      <c r="A21" s="4" t="s">
        <v>16</v>
      </c>
    </row>
    <row r="22" customFormat="false" ht="26.25" hidden="false" customHeight="true" outlineLevel="0" collapsed="false">
      <c r="A22" s="3" t="s">
        <v>17</v>
      </c>
    </row>
    <row r="23" customFormat="false" ht="26.25" hidden="false" customHeight="true" outlineLevel="0" collapsed="false">
      <c r="A23" s="3" t="s">
        <v>18</v>
      </c>
    </row>
    <row r="24" customFormat="false" ht="26.25" hidden="false" customHeight="true" outlineLevel="0" collapsed="false">
      <c r="A24" s="3" t="s">
        <v>19</v>
      </c>
    </row>
    <row r="25" customFormat="false" ht="14.25" hidden="false" customHeight="true" outlineLevel="0" collapsed="false">
      <c r="A25" s="3" t="s">
        <v>20</v>
      </c>
    </row>
    <row r="26" customFormat="false" ht="14.25" hidden="false" customHeight="true" outlineLevel="0" collapsed="false">
      <c r="A26" s="3" t="s">
        <v>21</v>
      </c>
    </row>
    <row r="27" customFormat="false" ht="26.25" hidden="false" customHeight="true" outlineLevel="0" collapsed="false">
      <c r="A27"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2" activeCellId="0" sqref="E32"/>
    </sheetView>
  </sheetViews>
  <sheetFormatPr defaultColWidth="8.63671875" defaultRowHeight="14.25" customHeight="false"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4"/>
    <col collapsed="false" customWidth="true" hidden="false" outlineLevel="0" max="4" min="4" style="1" width="14"/>
    <col collapsed="false" customWidth="true" hidden="false" outlineLevel="0" max="5" min="5" style="1" width="12"/>
  </cols>
  <sheetData>
    <row r="1" customFormat="false" ht="15" hidden="false" customHeight="true" outlineLevel="0" collapsed="false">
      <c r="A1" s="5" t="s">
        <v>23</v>
      </c>
    </row>
    <row r="3" customFormat="false" ht="14.25" hidden="false" customHeight="true" outlineLevel="0" collapsed="false">
      <c r="A3" s="6" t="s">
        <v>24</v>
      </c>
      <c r="B3" s="7"/>
    </row>
    <row r="4" customFormat="false" ht="14.25" hidden="false" customHeight="true" outlineLevel="0" collapsed="false">
      <c r="A4" s="8" t="s">
        <v>25</v>
      </c>
      <c r="B4" s="9" t="n">
        <v>0.2</v>
      </c>
    </row>
    <row r="5" customFormat="false" ht="14.25" hidden="false" customHeight="true" outlineLevel="0" collapsed="false">
      <c r="A5" s="8" t="s">
        <v>26</v>
      </c>
      <c r="B5" s="9" t="n">
        <v>0.25</v>
      </c>
    </row>
    <row r="6" customFormat="false" ht="14.25" hidden="false" customHeight="true" outlineLevel="0" collapsed="false">
      <c r="A6" s="8" t="s">
        <v>27</v>
      </c>
      <c r="B6" s="9" t="n">
        <v>0.25</v>
      </c>
    </row>
    <row r="7" customFormat="false" ht="14.25" hidden="false" customHeight="true" outlineLevel="0" collapsed="false">
      <c r="A7" s="8" t="s">
        <v>28</v>
      </c>
      <c r="B7" s="9" t="n">
        <v>0.2</v>
      </c>
    </row>
    <row r="8" customFormat="false" ht="14.25" hidden="false" customHeight="true" outlineLevel="0" collapsed="false">
      <c r="A8" s="8" t="s">
        <v>29</v>
      </c>
      <c r="B8" s="9" t="n">
        <v>0.1</v>
      </c>
    </row>
    <row r="9" customFormat="false" ht="14.25" hidden="false" customHeight="true" outlineLevel="0" collapsed="false">
      <c r="A9" s="10" t="s">
        <v>30</v>
      </c>
      <c r="B9" s="11" t="str">
        <f aca="false">IF(SUM(B4:B8)=1,"OK","ERROR: weights must sum to 100%")</f>
        <v>OK</v>
      </c>
    </row>
    <row r="11" customFormat="false" ht="14.25" hidden="false" customHeight="true" outlineLevel="0" collapsed="false">
      <c r="A11" s="6" t="s">
        <v>31</v>
      </c>
      <c r="B11" s="7"/>
      <c r="D11" s="6" t="s">
        <v>32</v>
      </c>
      <c r="E11" s="7"/>
      <c r="G11" s="6" t="s">
        <v>33</v>
      </c>
      <c r="I11" s="6" t="s">
        <v>34</v>
      </c>
    </row>
    <row r="12" customFormat="false" ht="14.25" hidden="false" customHeight="true" outlineLevel="0" collapsed="false">
      <c r="A12" s="12" t="n">
        <v>1</v>
      </c>
      <c r="B12" s="13" t="n">
        <v>0.45</v>
      </c>
      <c r="D12" s="12" t="n">
        <v>1</v>
      </c>
      <c r="E12" s="13" t="n">
        <v>1</v>
      </c>
      <c r="G12" s="12" t="n">
        <v>1</v>
      </c>
      <c r="H12" s="14" t="n">
        <v>10</v>
      </c>
      <c r="I12" s="12" t="n">
        <v>1</v>
      </c>
      <c r="J12" s="13" t="n">
        <v>0.75</v>
      </c>
    </row>
    <row r="13" customFormat="false" ht="14.25" hidden="false" customHeight="true" outlineLevel="0" collapsed="false">
      <c r="A13" s="12" t="n">
        <v>2</v>
      </c>
      <c r="B13" s="13" t="n">
        <v>0.5</v>
      </c>
      <c r="D13" s="12" t="n">
        <v>2</v>
      </c>
      <c r="E13" s="13" t="n">
        <v>1</v>
      </c>
      <c r="G13" s="12" t="n">
        <v>2</v>
      </c>
      <c r="H13" s="14" t="n">
        <v>30</v>
      </c>
      <c r="I13" s="12" t="n">
        <v>2</v>
      </c>
      <c r="J13" s="13" t="n">
        <v>0.8</v>
      </c>
    </row>
    <row r="14" customFormat="false" ht="14.25" hidden="false" customHeight="true" outlineLevel="0" collapsed="false">
      <c r="A14" s="12" t="n">
        <v>3</v>
      </c>
      <c r="B14" s="13" t="n">
        <v>0.58</v>
      </c>
      <c r="D14" s="12" t="n">
        <v>3</v>
      </c>
      <c r="E14" s="13" t="n">
        <v>0.95</v>
      </c>
      <c r="G14" s="12" t="n">
        <v>3</v>
      </c>
      <c r="H14" s="14" t="n">
        <v>55</v>
      </c>
      <c r="I14" s="12" t="n">
        <v>3</v>
      </c>
      <c r="J14" s="13" t="n">
        <v>0.85</v>
      </c>
    </row>
    <row r="15" customFormat="false" ht="14.25" hidden="false" customHeight="true" outlineLevel="0" collapsed="false">
      <c r="A15" s="12" t="n">
        <v>4</v>
      </c>
      <c r="B15" s="13" t="n">
        <v>0.65</v>
      </c>
      <c r="D15" s="12" t="n">
        <v>4</v>
      </c>
      <c r="E15" s="13" t="n">
        <v>0.9</v>
      </c>
      <c r="G15" s="12" t="n">
        <v>4</v>
      </c>
      <c r="H15" s="14" t="n">
        <v>80</v>
      </c>
      <c r="I15" s="12" t="n">
        <v>4</v>
      </c>
      <c r="J15" s="13" t="n">
        <v>0.9</v>
      </c>
    </row>
    <row r="16" customFormat="false" ht="14.25" hidden="false" customHeight="true" outlineLevel="0" collapsed="false">
      <c r="A16" s="12" t="n">
        <v>5</v>
      </c>
      <c r="B16" s="13" t="n">
        <v>0.73</v>
      </c>
      <c r="D16" s="12" t="n">
        <v>5</v>
      </c>
      <c r="E16" s="13" t="n">
        <v>0.85</v>
      </c>
      <c r="G16" s="12" t="n">
        <v>5</v>
      </c>
      <c r="H16" s="14" t="n">
        <v>100</v>
      </c>
      <c r="I16" s="12" t="n">
        <v>5</v>
      </c>
      <c r="J16" s="13" t="n">
        <v>0.95</v>
      </c>
    </row>
    <row r="17" customFormat="false" ht="14.25" hidden="false" customHeight="true" outlineLevel="0" collapsed="false">
      <c r="A17" s="12" t="n">
        <v>6</v>
      </c>
      <c r="B17" s="13" t="n">
        <v>0.8</v>
      </c>
      <c r="D17" s="12" t="n">
        <v>6</v>
      </c>
      <c r="E17" s="13" t="n">
        <v>0.8</v>
      </c>
      <c r="I17" s="12" t="n">
        <v>6</v>
      </c>
      <c r="J17" s="13" t="n">
        <v>1</v>
      </c>
    </row>
    <row r="18" customFormat="false" ht="14.25" hidden="false" customHeight="true" outlineLevel="0" collapsed="false">
      <c r="A18" s="12" t="n">
        <v>7</v>
      </c>
      <c r="B18" s="13" t="n">
        <v>0.85</v>
      </c>
      <c r="D18" s="12" t="n">
        <v>7</v>
      </c>
      <c r="E18" s="13" t="n">
        <v>0.75</v>
      </c>
      <c r="I18" s="12" t="n">
        <v>7</v>
      </c>
      <c r="J18" s="13" t="n">
        <v>1.05</v>
      </c>
    </row>
    <row r="19" customFormat="false" ht="14.25" hidden="false" customHeight="true" outlineLevel="0" collapsed="false">
      <c r="A19" s="12" t="n">
        <v>8</v>
      </c>
      <c r="B19" s="13" t="n">
        <v>0.9</v>
      </c>
      <c r="D19" s="12" t="n">
        <v>8</v>
      </c>
      <c r="E19" s="13" t="n">
        <v>0.7</v>
      </c>
      <c r="I19" s="12" t="n">
        <v>8</v>
      </c>
      <c r="J19" s="13" t="n">
        <v>1.1</v>
      </c>
    </row>
    <row r="20" customFormat="false" ht="14.25" hidden="false" customHeight="true" outlineLevel="0" collapsed="false">
      <c r="A20" s="12" t="n">
        <v>9</v>
      </c>
      <c r="B20" s="13" t="n">
        <v>0.95</v>
      </c>
      <c r="D20" s="12" t="n">
        <v>9</v>
      </c>
      <c r="E20" s="13" t="n">
        <v>0.65</v>
      </c>
      <c r="I20" s="12" t="n">
        <v>9</v>
      </c>
      <c r="J20" s="13" t="n">
        <v>1.15</v>
      </c>
    </row>
    <row r="21" customFormat="false" ht="14.25" hidden="false" customHeight="true" outlineLevel="0" collapsed="false">
      <c r="A21" s="12" t="n">
        <v>10</v>
      </c>
      <c r="B21" s="13" t="n">
        <v>1</v>
      </c>
      <c r="D21" s="12" t="n">
        <v>10</v>
      </c>
      <c r="E21" s="13" t="n">
        <v>0.6</v>
      </c>
      <c r="I21" s="12" t="n">
        <v>10</v>
      </c>
      <c r="J21" s="13" t="n">
        <v>1.2</v>
      </c>
    </row>
    <row r="22" customFormat="false" ht="14.25" hidden="false" customHeight="true" outlineLevel="0" collapsed="false">
      <c r="A22" s="15"/>
    </row>
    <row r="23" customFormat="false" ht="14.25" hidden="false" customHeight="true" outlineLevel="0" collapsed="false">
      <c r="A23" s="15" t="s">
        <v>35</v>
      </c>
    </row>
    <row r="24" customFormat="false" ht="14.25" hidden="false" customHeight="true" outlineLevel="0" collapsed="false">
      <c r="A24" s="15" t="s">
        <v>36</v>
      </c>
    </row>
    <row r="25" customFormat="false" ht="14.25" hidden="false" customHeight="true" outlineLevel="0" collapsed="false">
      <c r="A25" s="15"/>
    </row>
    <row r="26" customFormat="false" ht="14.25" hidden="false" customHeight="true" outlineLevel="0" collapsed="false">
      <c r="A26" s="15" t="s">
        <v>37</v>
      </c>
    </row>
    <row r="27" customFormat="false" ht="14.25" hidden="false" customHeight="true" outlineLevel="0" collapsed="false">
      <c r="A27" s="15" t="s">
        <v>38</v>
      </c>
    </row>
    <row r="28" customFormat="false" ht="14.25" hidden="false" customHeight="true" outlineLevel="0" collapsed="false">
      <c r="A28" s="1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9" activeCellId="0" sqref="B19"/>
    </sheetView>
  </sheetViews>
  <sheetFormatPr defaultColWidth="8.63671875" defaultRowHeight="14.25" customHeight="false" zeroHeight="false" outlineLevelRow="0" outlineLevelCol="0"/>
  <cols>
    <col collapsed="false" customWidth="true" hidden="false" outlineLevel="0" max="1" min="1" style="1" width="22"/>
    <col collapsed="false" customWidth="true" hidden="false" outlineLevel="0" max="6" min="2" style="1" width="34"/>
  </cols>
  <sheetData>
    <row r="1" customFormat="false" ht="15" hidden="false" customHeight="true" outlineLevel="0" collapsed="false">
      <c r="A1" s="5" t="s">
        <v>40</v>
      </c>
    </row>
    <row r="2" customFormat="false" ht="14.25" hidden="false" customHeight="true" outlineLevel="0" collapsed="false">
      <c r="B2" s="1" t="s">
        <v>41</v>
      </c>
      <c r="C2" s="1" t="s">
        <v>42</v>
      </c>
      <c r="D2" s="1" t="s">
        <v>43</v>
      </c>
      <c r="E2" s="1" t="s">
        <v>44</v>
      </c>
      <c r="F2" s="1" t="s">
        <v>45</v>
      </c>
      <c r="G2" s="1" t="s">
        <v>46</v>
      </c>
      <c r="H2" s="1" t="s">
        <v>47</v>
      </c>
      <c r="I2" s="1" t="s">
        <v>48</v>
      </c>
      <c r="J2" s="1" t="s">
        <v>49</v>
      </c>
      <c r="K2" s="1" t="s">
        <v>50</v>
      </c>
    </row>
    <row r="3" customFormat="false" ht="14.25" hidden="false" customHeight="true" outlineLevel="0" collapsed="false">
      <c r="A3" s="16" t="s">
        <v>51</v>
      </c>
      <c r="B3" s="16" t="s">
        <v>41</v>
      </c>
      <c r="C3" s="16" t="s">
        <v>42</v>
      </c>
      <c r="D3" s="16" t="s">
        <v>43</v>
      </c>
      <c r="E3" s="16" t="s">
        <v>44</v>
      </c>
      <c r="F3" s="16" t="s">
        <v>45</v>
      </c>
    </row>
    <row r="4" customFormat="false" ht="43.5" hidden="false" customHeight="true" outlineLevel="0" collapsed="false">
      <c r="A4" s="17" t="s">
        <v>25</v>
      </c>
      <c r="B4" s="18" t="s">
        <v>52</v>
      </c>
      <c r="C4" s="18" t="s">
        <v>53</v>
      </c>
      <c r="D4" s="18" t="s">
        <v>54</v>
      </c>
      <c r="E4" s="18" t="s">
        <v>55</v>
      </c>
      <c r="F4" s="18" t="s">
        <v>56</v>
      </c>
      <c r="G4" s="18" t="s">
        <v>57</v>
      </c>
      <c r="H4" s="18" t="s">
        <v>58</v>
      </c>
      <c r="I4" s="18" t="s">
        <v>59</v>
      </c>
      <c r="J4" s="18" t="s">
        <v>60</v>
      </c>
      <c r="K4" s="18" t="s">
        <v>61</v>
      </c>
    </row>
    <row r="5" customFormat="false" ht="43.5" hidden="false" customHeight="true" outlineLevel="0" collapsed="false">
      <c r="A5" s="17" t="s">
        <v>26</v>
      </c>
      <c r="B5" s="18" t="s">
        <v>62</v>
      </c>
      <c r="C5" s="18" t="s">
        <v>63</v>
      </c>
      <c r="D5" s="18" t="s">
        <v>64</v>
      </c>
      <c r="E5" s="18" t="s">
        <v>65</v>
      </c>
      <c r="F5" s="18" t="s">
        <v>66</v>
      </c>
      <c r="G5" s="18" t="s">
        <v>67</v>
      </c>
      <c r="H5" s="18" t="s">
        <v>68</v>
      </c>
      <c r="I5" s="18" t="s">
        <v>69</v>
      </c>
      <c r="J5" s="18" t="s">
        <v>70</v>
      </c>
      <c r="K5" s="18" t="s">
        <v>71</v>
      </c>
    </row>
    <row r="6" customFormat="false" ht="43.5" hidden="false" customHeight="true" outlineLevel="0" collapsed="false">
      <c r="A6" s="17" t="s">
        <v>27</v>
      </c>
      <c r="B6" s="18" t="s">
        <v>72</v>
      </c>
      <c r="C6" s="18" t="s">
        <v>73</v>
      </c>
      <c r="D6" s="18" t="s">
        <v>74</v>
      </c>
      <c r="E6" s="18" t="s">
        <v>75</v>
      </c>
      <c r="F6" s="18" t="s">
        <v>76</v>
      </c>
      <c r="G6" s="18" t="s">
        <v>77</v>
      </c>
      <c r="H6" s="18" t="s">
        <v>78</v>
      </c>
      <c r="I6" s="18" t="s">
        <v>79</v>
      </c>
      <c r="J6" s="18" t="s">
        <v>80</v>
      </c>
      <c r="K6" s="18" t="s">
        <v>81</v>
      </c>
    </row>
    <row r="7" customFormat="false" ht="43.5" hidden="false" customHeight="true" outlineLevel="0" collapsed="false">
      <c r="A7" s="17" t="s">
        <v>28</v>
      </c>
      <c r="B7" s="18" t="s">
        <v>82</v>
      </c>
      <c r="C7" s="18" t="s">
        <v>83</v>
      </c>
      <c r="D7" s="18" t="s">
        <v>84</v>
      </c>
      <c r="E7" s="18" t="s">
        <v>85</v>
      </c>
      <c r="F7" s="18" t="s">
        <v>86</v>
      </c>
      <c r="G7" s="18" t="s">
        <v>87</v>
      </c>
      <c r="H7" s="18" t="s">
        <v>88</v>
      </c>
      <c r="I7" s="18" t="s">
        <v>89</v>
      </c>
      <c r="J7" s="18" t="s">
        <v>90</v>
      </c>
      <c r="K7" s="18" t="s">
        <v>91</v>
      </c>
    </row>
    <row r="8" customFormat="false" ht="43.5" hidden="false" customHeight="true" outlineLevel="0" collapsed="false">
      <c r="A8" s="17" t="s">
        <v>29</v>
      </c>
      <c r="B8" s="18" t="s">
        <v>92</v>
      </c>
      <c r="C8" s="18" t="s">
        <v>93</v>
      </c>
      <c r="D8" s="18" t="s">
        <v>94</v>
      </c>
      <c r="E8" s="18" t="s">
        <v>95</v>
      </c>
      <c r="F8" s="18" t="s">
        <v>96</v>
      </c>
      <c r="G8" s="18" t="s">
        <v>97</v>
      </c>
      <c r="H8" s="18" t="s">
        <v>98</v>
      </c>
      <c r="I8" s="18" t="s">
        <v>99</v>
      </c>
      <c r="J8" s="18" t="s">
        <v>100</v>
      </c>
      <c r="K8" s="18" t="s">
        <v>101</v>
      </c>
    </row>
    <row r="9" customFormat="false" ht="43.5" hidden="false" customHeight="true" outlineLevel="0" collapsed="false">
      <c r="A9" s="17" t="s">
        <v>102</v>
      </c>
      <c r="B9" s="18" t="s">
        <v>103</v>
      </c>
      <c r="C9" s="18" t="s">
        <v>104</v>
      </c>
      <c r="D9" s="18" t="s">
        <v>105</v>
      </c>
      <c r="E9" s="18" t="s">
        <v>106</v>
      </c>
      <c r="F9" s="18" t="s">
        <v>107</v>
      </c>
      <c r="G9" s="18" t="s">
        <v>108</v>
      </c>
      <c r="H9" s="18" t="s">
        <v>109</v>
      </c>
      <c r="I9" s="18" t="s">
        <v>110</v>
      </c>
      <c r="J9" s="18" t="s">
        <v>111</v>
      </c>
      <c r="K9" s="18" t="s">
        <v>112</v>
      </c>
    </row>
    <row r="10" customFormat="false" ht="43.5" hidden="false" customHeight="true" outlineLevel="0" collapsed="false">
      <c r="A10" s="17" t="s">
        <v>113</v>
      </c>
      <c r="B10" s="18" t="s">
        <v>114</v>
      </c>
      <c r="C10" s="18" t="s">
        <v>115</v>
      </c>
      <c r="D10" s="18" t="s">
        <v>116</v>
      </c>
      <c r="E10" s="18" t="s">
        <v>117</v>
      </c>
      <c r="F10" s="18" t="s">
        <v>118</v>
      </c>
      <c r="G10" s="18" t="s">
        <v>119</v>
      </c>
      <c r="H10" s="18" t="s">
        <v>120</v>
      </c>
      <c r="I10" s="18" t="s">
        <v>121</v>
      </c>
      <c r="J10" s="18" t="s">
        <v>122</v>
      </c>
      <c r="K10" s="18" t="s">
        <v>123</v>
      </c>
    </row>
    <row r="11" customFormat="false" ht="43.5" hidden="false" customHeight="true" outlineLevel="0" collapsed="false">
      <c r="A11" s="17" t="s">
        <v>124</v>
      </c>
      <c r="B11" s="18" t="s">
        <v>125</v>
      </c>
      <c r="C11" s="18" t="s">
        <v>126</v>
      </c>
      <c r="D11" s="18" t="s">
        <v>127</v>
      </c>
      <c r="E11" s="18" t="s">
        <v>128</v>
      </c>
      <c r="F11" s="18" t="s">
        <v>129</v>
      </c>
      <c r="G11" s="18" t="s">
        <v>130</v>
      </c>
      <c r="H11" s="18" t="s">
        <v>131</v>
      </c>
      <c r="I11" s="18" t="s">
        <v>132</v>
      </c>
      <c r="J11" s="18" t="s">
        <v>133</v>
      </c>
      <c r="K11" s="18" t="s">
        <v>134</v>
      </c>
    </row>
    <row r="12" customFormat="false" ht="39" hidden="false" customHeight="true" outlineLevel="0" collapsed="false">
      <c r="A12" s="19" t="s">
        <v>135</v>
      </c>
      <c r="B12" s="3" t="s">
        <v>136</v>
      </c>
      <c r="C12" s="3" t="s">
        <v>137</v>
      </c>
      <c r="D12" s="3" t="s">
        <v>138</v>
      </c>
      <c r="E12" s="3" t="s">
        <v>139</v>
      </c>
      <c r="F12" s="3" t="s">
        <v>140</v>
      </c>
      <c r="G12" s="3"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3" topLeftCell="C10" activePane="bottomRight" state="frozen"/>
      <selection pane="topLeft" activeCell="A1" activeCellId="0" sqref="A1"/>
      <selection pane="topRight" activeCell="C1" activeCellId="0" sqref="C1"/>
      <selection pane="bottomLeft" activeCell="A10" activeCellId="0" sqref="A10"/>
      <selection pane="bottomRight" activeCell="F11" activeCellId="0" sqref="F11"/>
    </sheetView>
  </sheetViews>
  <sheetFormatPr defaultColWidth="8.63671875" defaultRowHeight="14.25" customHeight="false" zeroHeight="false" outlineLevelRow="0" outlineLevelCol="0"/>
  <cols>
    <col collapsed="false" customWidth="true" hidden="false" outlineLevel="0" max="1" min="1" style="1" width="12"/>
    <col collapsed="false" customWidth="true" hidden="false" outlineLevel="0" max="2" min="2" style="20" width="44.64"/>
    <col collapsed="false" customWidth="true" hidden="false" outlineLevel="0" max="3" min="3" style="1" width="24"/>
    <col collapsed="false" customWidth="true" hidden="false" outlineLevel="0" max="4" min="4" style="1" width="14"/>
    <col collapsed="false" customWidth="true" hidden="false" outlineLevel="0" max="5" min="5" style="1" width="16"/>
    <col collapsed="false" customWidth="true" hidden="false" outlineLevel="0" max="6" min="6" style="1" width="12"/>
    <col collapsed="false" customWidth="true" hidden="false" outlineLevel="0" max="8" min="7" style="1" width="10"/>
    <col collapsed="false" customWidth="true" hidden="false" outlineLevel="0" max="11" min="9" style="1" width="12"/>
    <col collapsed="false" customWidth="true" hidden="false" outlineLevel="0" max="12" min="12" style="1" width="11"/>
    <col collapsed="false" customWidth="true" hidden="false" outlineLevel="0" max="14" min="13" style="1" width="9"/>
    <col collapsed="false" customWidth="true" hidden="false" outlineLevel="0" max="16" min="15" style="1" width="36"/>
    <col collapsed="false" customWidth="true" hidden="false" outlineLevel="0" max="18" min="17" style="1" width="12"/>
    <col collapsed="false" customWidth="true" hidden="false" outlineLevel="0" max="19" min="19" style="1" width="10"/>
    <col collapsed="false" customWidth="true" hidden="false" outlineLevel="0" max="20" min="20" style="1" width="12"/>
    <col collapsed="false" customWidth="true" hidden="false" outlineLevel="0" max="21" min="21" style="1" width="8"/>
    <col collapsed="false" customWidth="true" hidden="false" outlineLevel="0" max="24" min="22" style="1" width="14"/>
  </cols>
  <sheetData>
    <row r="1" customFormat="false" ht="15" hidden="false" customHeight="true" outlineLevel="0" collapsed="false">
      <c r="A1" s="5" t="s">
        <v>142</v>
      </c>
    </row>
    <row r="2" customFormat="false" ht="14.25" hidden="false" customHeight="true" outlineLevel="0" collapsed="false">
      <c r="A2" s="15" t="s">
        <v>143</v>
      </c>
    </row>
    <row r="3" customFormat="false" ht="39.75" hidden="false" customHeight="true" outlineLevel="0" collapsed="false">
      <c r="A3" s="21" t="s">
        <v>144</v>
      </c>
      <c r="B3" s="21" t="s">
        <v>145</v>
      </c>
      <c r="C3" s="21" t="s">
        <v>146</v>
      </c>
      <c r="D3" s="21" t="s">
        <v>147</v>
      </c>
      <c r="E3" s="21" t="s">
        <v>148</v>
      </c>
      <c r="F3" s="21" t="s">
        <v>149</v>
      </c>
      <c r="G3" s="21" t="s">
        <v>150</v>
      </c>
      <c r="H3" s="21" t="s">
        <v>151</v>
      </c>
      <c r="I3" s="21" t="s">
        <v>152</v>
      </c>
      <c r="J3" s="21" t="s">
        <v>153</v>
      </c>
      <c r="K3" s="21" t="s">
        <v>154</v>
      </c>
      <c r="L3" s="21" t="s">
        <v>155</v>
      </c>
      <c r="M3" s="21" t="s">
        <v>156</v>
      </c>
      <c r="N3" s="21" t="s">
        <v>157</v>
      </c>
      <c r="O3" s="21" t="s">
        <v>158</v>
      </c>
      <c r="P3" s="21" t="s">
        <v>159</v>
      </c>
      <c r="Q3" s="21" t="s">
        <v>160</v>
      </c>
      <c r="R3" s="21" t="s">
        <v>161</v>
      </c>
      <c r="S3" s="21" t="s">
        <v>162</v>
      </c>
      <c r="T3" s="21" t="s">
        <v>163</v>
      </c>
      <c r="U3" s="21" t="s">
        <v>164</v>
      </c>
      <c r="V3" s="21" t="s">
        <v>165</v>
      </c>
      <c r="W3" s="21" t="s">
        <v>166</v>
      </c>
      <c r="X3" s="21" t="s">
        <v>167</v>
      </c>
    </row>
    <row r="4" customFormat="false" ht="409.5" hidden="false" customHeight="true" outlineLevel="0" collapsed="false">
      <c r="A4" s="22" t="s">
        <v>168</v>
      </c>
      <c r="B4" s="23" t="s">
        <v>169</v>
      </c>
      <c r="C4" s="22" t="s">
        <v>170</v>
      </c>
      <c r="D4" s="22" t="s">
        <v>171</v>
      </c>
      <c r="E4" s="22" t="s">
        <v>172</v>
      </c>
      <c r="F4" s="24" t="n">
        <v>46210</v>
      </c>
      <c r="G4" s="25" t="n">
        <v>10</v>
      </c>
      <c r="H4" s="25" t="n">
        <v>4</v>
      </c>
      <c r="I4" s="25" t="n">
        <v>6</v>
      </c>
      <c r="J4" s="25" t="n">
        <v>10</v>
      </c>
      <c r="K4" s="25" t="n">
        <v>6</v>
      </c>
      <c r="L4" s="25" t="n">
        <v>4</v>
      </c>
      <c r="M4" s="25" t="n">
        <v>2</v>
      </c>
      <c r="N4" s="25" t="n">
        <v>2</v>
      </c>
      <c r="O4" s="26" t="s">
        <v>173</v>
      </c>
      <c r="P4" s="27" t="s">
        <v>174</v>
      </c>
      <c r="Q4" s="28" t="n">
        <f aca="false">IF(V4="Defect","",IF(COUNT(G4:K4)&lt;5,"",ROUND(G4*Config!$B$4+H4*Config!$B$5+I4*Config!$B$6+J4*Config!$B$7+K4*Config!$B$8,2)))</f>
        <v>7.1</v>
      </c>
      <c r="R4" s="28" t="n">
        <f aca="false">IF(L4="","",VLOOKUP(L4,Config!$A$12:$B$21,2,0))</f>
        <v>0.65</v>
      </c>
      <c r="S4" s="28" t="n">
        <f aca="false">IF(N4="","",VLOOKUP(N4,Config!$D$12:$E$21,2,0))</f>
        <v>1</v>
      </c>
      <c r="T4" s="29" t="n">
        <f aca="false">IF(V4="Defect",IF(OR(X4="",G4="",R4=""),"",ROUND(MIN(100,VLOOKUP(X4,Config!$G$12:$H$16,2,0)*VLOOKUP(G4,Config!$I$12:$J$21,2,0)*R4),1)),IF(OR(Q4="",R4="",S4="",M4=""),"",ROUND(MIN(100,Q4*R4*S4/M4*20),1)))</f>
        <v>46.2</v>
      </c>
      <c r="U4" s="30" t="n">
        <f aca="false">IF(T4="","",RANK(T4,$T$4:$T$52))</f>
        <v>2</v>
      </c>
      <c r="V4" s="22" t="s">
        <v>175</v>
      </c>
    </row>
    <row r="5" customFormat="false" ht="409.5" hidden="false" customHeight="true" outlineLevel="0" collapsed="false">
      <c r="A5" s="22" t="s">
        <v>176</v>
      </c>
      <c r="B5" s="23" t="s">
        <v>177</v>
      </c>
      <c r="C5" s="22" t="s">
        <v>178</v>
      </c>
      <c r="D5" s="22" t="s">
        <v>171</v>
      </c>
      <c r="E5" s="22" t="s">
        <v>172</v>
      </c>
      <c r="F5" s="22" t="s">
        <v>179</v>
      </c>
      <c r="G5" s="25" t="n">
        <v>6</v>
      </c>
      <c r="H5" s="25" t="n">
        <v>6</v>
      </c>
      <c r="I5" s="25" t="n">
        <v>4</v>
      </c>
      <c r="J5" s="25" t="n">
        <v>8</v>
      </c>
      <c r="K5" s="25" t="n">
        <v>6</v>
      </c>
      <c r="L5" s="25" t="n">
        <v>4</v>
      </c>
      <c r="M5" s="25" t="n">
        <v>4</v>
      </c>
      <c r="N5" s="25" t="n">
        <v>4</v>
      </c>
      <c r="O5" s="27" t="s">
        <v>180</v>
      </c>
      <c r="P5" s="27" t="s">
        <v>181</v>
      </c>
      <c r="Q5" s="28" t="n">
        <f aca="false">IF(V5="Defect","",IF(COUNT(G5:K5)&lt;5,"",ROUND(G5*Config!$B$4+H5*Config!$B$5+I5*Config!$B$6+J5*Config!$B$7+K5*Config!$B$8,2)))</f>
        <v>5.9</v>
      </c>
      <c r="R5" s="28" t="n">
        <f aca="false">IF(L5="","",VLOOKUP(L5,Config!$A$12:$B$21,2,0))</f>
        <v>0.65</v>
      </c>
      <c r="S5" s="28" t="n">
        <f aca="false">IF(N5="","",VLOOKUP(N5,Config!$D$12:$E$21,2,0))</f>
        <v>0.9</v>
      </c>
      <c r="T5" s="29" t="n">
        <f aca="false">IF(V5="Defect",IF(OR(X5="",G5="",R5=""),"",ROUND(MIN(100,VLOOKUP(X5,Config!$G$12:$H$16,2,0)*VLOOKUP(G5,Config!$I$12:$J$21,2,0)*R5),1)),IF(OR(Q5="",R5="",S5="",M5=""),"",ROUND(MIN(100,Q5*R5*S5/M5*20),1)))</f>
        <v>17.3</v>
      </c>
      <c r="U5" s="30" t="n">
        <f aca="false">IF(T5="","",RANK(T5,$T$4:$T$52))</f>
        <v>11</v>
      </c>
      <c r="V5" s="22" t="s">
        <v>175</v>
      </c>
    </row>
    <row r="6" customFormat="false" ht="307.5" hidden="false" customHeight="true" outlineLevel="0" collapsed="false">
      <c r="A6" s="22" t="s">
        <v>182</v>
      </c>
      <c r="B6" s="23" t="s">
        <v>183</v>
      </c>
      <c r="C6" s="22" t="s">
        <v>184</v>
      </c>
      <c r="D6" s="22" t="s">
        <v>171</v>
      </c>
      <c r="E6" s="22" t="s">
        <v>172</v>
      </c>
      <c r="F6" s="22" t="s">
        <v>179</v>
      </c>
      <c r="G6" s="25" t="n">
        <v>6</v>
      </c>
      <c r="H6" s="25" t="n">
        <v>6</v>
      </c>
      <c r="I6" s="25" t="n">
        <v>4</v>
      </c>
      <c r="J6" s="25" t="n">
        <v>10</v>
      </c>
      <c r="K6" s="25" t="n">
        <v>6</v>
      </c>
      <c r="L6" s="25" t="n">
        <v>4</v>
      </c>
      <c r="M6" s="25" t="n">
        <v>4</v>
      </c>
      <c r="N6" s="25" t="n">
        <v>2</v>
      </c>
      <c r="O6" s="27" t="s">
        <v>185</v>
      </c>
      <c r="P6" s="27" t="s">
        <v>186</v>
      </c>
      <c r="Q6" s="28" t="n">
        <f aca="false">IF(V6="Defect","",IF(COUNT(G6:K6)&lt;5,"",ROUND(G6*Config!$B$4+H6*Config!$B$5+I6*Config!$B$6+J6*Config!$B$7+K6*Config!$B$8,2)))</f>
        <v>6.3</v>
      </c>
      <c r="R6" s="28" t="n">
        <f aca="false">IF(L6="","",VLOOKUP(L6,Config!$A$12:$B$21,2,0))</f>
        <v>0.65</v>
      </c>
      <c r="S6" s="28" t="n">
        <f aca="false">IF(N6="","",VLOOKUP(N6,Config!$D$12:$E$21,2,0))</f>
        <v>1</v>
      </c>
      <c r="T6" s="29" t="n">
        <f aca="false">IF(V6="Defect",IF(OR(X6="",G6="",R6=""),"",ROUND(MIN(100,VLOOKUP(X6,Config!$G$12:$H$16,2,0)*VLOOKUP(G6,Config!$I$12:$J$21,2,0)*R6),1)),IF(OR(Q6="",R6="",S6="",M6=""),"",ROUND(MIN(100,Q6*R6*S6/M6*20),1)))</f>
        <v>20.5</v>
      </c>
      <c r="U6" s="30" t="n">
        <f aca="false">IF(T6="","",RANK(T6,$T$4:$T$52))</f>
        <v>10</v>
      </c>
      <c r="V6" s="22" t="s">
        <v>175</v>
      </c>
    </row>
    <row r="7" customFormat="false" ht="349.5" hidden="false" customHeight="true" outlineLevel="0" collapsed="false">
      <c r="A7" s="22" t="s">
        <v>187</v>
      </c>
      <c r="B7" s="23" t="s">
        <v>188</v>
      </c>
      <c r="C7" s="22" t="s">
        <v>189</v>
      </c>
      <c r="D7" s="22" t="s">
        <v>190</v>
      </c>
      <c r="E7" s="22" t="s">
        <v>172</v>
      </c>
      <c r="F7" s="22" t="s">
        <v>179</v>
      </c>
      <c r="G7" s="25" t="n">
        <v>8</v>
      </c>
      <c r="H7" s="25" t="n">
        <v>8</v>
      </c>
      <c r="I7" s="25" t="n">
        <v>6</v>
      </c>
      <c r="J7" s="25" t="n">
        <v>10</v>
      </c>
      <c r="K7" s="25" t="n">
        <v>6</v>
      </c>
      <c r="L7" s="25" t="n">
        <v>4</v>
      </c>
      <c r="M7" s="25" t="n">
        <v>8</v>
      </c>
      <c r="N7" s="25" t="n">
        <v>6</v>
      </c>
      <c r="O7" s="27" t="s">
        <v>191</v>
      </c>
      <c r="P7" s="27" t="s">
        <v>192</v>
      </c>
      <c r="Q7" s="28" t="n">
        <f aca="false">IF(V7="Defect","",IF(COUNT(G7:K7)&lt;5,"",ROUND(G7*Config!$B$4+H7*Config!$B$5+I7*Config!$B$6+J7*Config!$B$7+K7*Config!$B$8,2)))</f>
        <v>7.7</v>
      </c>
      <c r="R7" s="28" t="n">
        <f aca="false">IF(L7="","",VLOOKUP(L7,Config!$A$12:$B$21,2,0))</f>
        <v>0.65</v>
      </c>
      <c r="S7" s="28" t="n">
        <f aca="false">IF(N7="","",VLOOKUP(N7,Config!$D$12:$E$21,2,0))</f>
        <v>0.8</v>
      </c>
      <c r="T7" s="29" t="n">
        <f aca="false">IF(V7="Defect",IF(OR(X7="",G7="",R7=""),"",ROUND(MIN(100,VLOOKUP(X7,Config!$G$12:$H$16,2,0)*VLOOKUP(G7,Config!$I$12:$J$21,2,0)*R7),1)),IF(OR(Q7="",R7="",S7="",M7=""),"",ROUND(MIN(100,Q7*R7*S7/M7*20),1)))</f>
        <v>10</v>
      </c>
      <c r="U7" s="30" t="n">
        <f aca="false">IF(T7="","",RANK(T7,$T$4:$T$52))</f>
        <v>13</v>
      </c>
      <c r="V7" s="22" t="s">
        <v>175</v>
      </c>
    </row>
    <row r="8" customFormat="false" ht="98.25" hidden="false" customHeight="true" outlineLevel="0" collapsed="false">
      <c r="A8" s="22" t="s">
        <v>193</v>
      </c>
      <c r="B8" s="31" t="s">
        <v>194</v>
      </c>
      <c r="C8" s="22" t="s">
        <v>195</v>
      </c>
      <c r="D8" s="22" t="s">
        <v>171</v>
      </c>
      <c r="E8" s="22" t="s">
        <v>196</v>
      </c>
      <c r="F8" s="32" t="n">
        <v>46214</v>
      </c>
      <c r="G8" s="25" t="n">
        <v>8</v>
      </c>
      <c r="H8" s="25" t="n">
        <v>3</v>
      </c>
      <c r="I8" s="25" t="n">
        <v>2</v>
      </c>
      <c r="J8" s="25" t="n">
        <v>4</v>
      </c>
      <c r="K8" s="25" t="n">
        <v>6</v>
      </c>
      <c r="L8" s="25" t="n">
        <v>8</v>
      </c>
      <c r="M8" s="25" t="n">
        <v>2</v>
      </c>
      <c r="N8" s="25" t="n">
        <v>2</v>
      </c>
      <c r="O8" s="27" t="s">
        <v>197</v>
      </c>
      <c r="P8" s="27" t="s">
        <v>198</v>
      </c>
      <c r="Q8" s="28" t="str">
        <f aca="false">IF(V8="Defect","",IF(COUNT(G8:K8)&lt;5,"",ROUND(G8*Config!$B$4+H8*Config!$B$5+I8*Config!$B$6+J8*Config!$B$7+K8*Config!$B$8,2)))</f>
        <v/>
      </c>
      <c r="R8" s="28" t="n">
        <f aca="false">IF(L8="","",VLOOKUP(L8,Config!$A$12:$B$21,2,0))</f>
        <v>0.9</v>
      </c>
      <c r="S8" s="28" t="n">
        <f aca="false">IF(N8="","",VLOOKUP(N8,Config!$D$12:$E$21,2,0))</f>
        <v>1</v>
      </c>
      <c r="T8" s="29" t="n">
        <f aca="false">IF(V8="Defect",IF(OR(X8="",G8="",R8=""),"",ROUND(MIN(100,VLOOKUP(X8,Config!$G$12:$H$16,2,0)*VLOOKUP(G8,Config!$I$12:$J$21,2,0)*R8),1)),IF(OR(Q8="",R8="",S8="",M8=""),"",ROUND(MIN(100,Q8*R8*S8/M8*20),1)))</f>
        <v>29.7</v>
      </c>
      <c r="U8" s="30" t="n">
        <f aca="false">IF(T8="","",RANK(T8,$T$4:$T$52))</f>
        <v>5</v>
      </c>
      <c r="V8" s="33" t="s">
        <v>199</v>
      </c>
      <c r="W8" s="1" t="s">
        <v>200</v>
      </c>
      <c r="X8" s="1" t="n">
        <v>2</v>
      </c>
    </row>
    <row r="9" customFormat="false" ht="98.25" hidden="false" customHeight="true" outlineLevel="0" collapsed="false">
      <c r="A9" s="34" t="s">
        <v>201</v>
      </c>
      <c r="B9" s="31" t="s">
        <v>202</v>
      </c>
      <c r="C9" s="22" t="s">
        <v>203</v>
      </c>
      <c r="D9" s="22" t="s">
        <v>190</v>
      </c>
      <c r="E9" s="22" t="s">
        <v>172</v>
      </c>
      <c r="F9" s="32" t="n">
        <v>46214</v>
      </c>
      <c r="G9" s="25" t="n">
        <v>8</v>
      </c>
      <c r="H9" s="25" t="n">
        <v>8</v>
      </c>
      <c r="I9" s="25" t="n">
        <v>10</v>
      </c>
      <c r="J9" s="25" t="n">
        <v>5</v>
      </c>
      <c r="K9" s="25" t="n">
        <v>10</v>
      </c>
      <c r="L9" s="25" t="n">
        <v>4</v>
      </c>
      <c r="M9" s="25" t="n">
        <v>5</v>
      </c>
      <c r="N9" s="25" t="n">
        <v>1</v>
      </c>
      <c r="O9" s="27" t="s">
        <v>204</v>
      </c>
      <c r="P9" s="27" t="s">
        <v>205</v>
      </c>
      <c r="Q9" s="28" t="n">
        <f aca="false">IF(V9="Defect","",IF(COUNT(G9:K9)&lt;5,"",ROUND(G9*Config!$B$4+H9*Config!$B$5+I9*Config!$B$6+J9*Config!$B$7+K9*Config!$B$8,2)))</f>
        <v>8.1</v>
      </c>
      <c r="R9" s="28" t="n">
        <f aca="false">IF(L9="","",VLOOKUP(L9,Config!$A$12:$B$21,2,0))</f>
        <v>0.65</v>
      </c>
      <c r="S9" s="28" t="n">
        <f aca="false">IF(N9="","",VLOOKUP(N9,Config!$D$12:$E$21,2,0))</f>
        <v>1</v>
      </c>
      <c r="T9" s="29" t="n">
        <f aca="false">IF(V9="Defect",IF(OR(X9="",G9="",R9=""),"",ROUND(MIN(100,VLOOKUP(X9,Config!$G$12:$H$16,2,0)*VLOOKUP(G9,Config!$I$12:$J$21,2,0)*R9),1)),IF(OR(Q9="",R9="",S9="",M9=""),"",ROUND(MIN(100,Q9*R9*S9/M9*20),1)))</f>
        <v>21.1</v>
      </c>
      <c r="U9" s="30" t="n">
        <f aca="false">IF(T9="","",RANK(T9,$T$4:$T$52))</f>
        <v>9</v>
      </c>
      <c r="V9" s="33" t="s">
        <v>175</v>
      </c>
    </row>
    <row r="10" customFormat="false" ht="409.5" hidden="false" customHeight="true" outlineLevel="0" collapsed="false">
      <c r="A10" s="22" t="s">
        <v>206</v>
      </c>
      <c r="B10" s="23" t="s">
        <v>207</v>
      </c>
      <c r="C10" s="35" t="s">
        <v>208</v>
      </c>
      <c r="D10" s="22" t="s">
        <v>171</v>
      </c>
      <c r="E10" s="22" t="s">
        <v>172</v>
      </c>
      <c r="F10" s="22" t="s">
        <v>209</v>
      </c>
      <c r="G10" s="25" t="n">
        <v>5</v>
      </c>
      <c r="H10" s="25"/>
      <c r="I10" s="25"/>
      <c r="J10" s="25" t="n">
        <v>1</v>
      </c>
      <c r="K10" s="25" t="n">
        <v>5</v>
      </c>
      <c r="L10" s="25" t="n">
        <v>7</v>
      </c>
      <c r="M10" s="25" t="n">
        <v>2</v>
      </c>
      <c r="N10" s="25" t="n">
        <v>1</v>
      </c>
      <c r="O10" s="27" t="s">
        <v>210</v>
      </c>
      <c r="P10" s="27" t="s">
        <v>211</v>
      </c>
      <c r="Q10" s="28" t="str">
        <f aca="false">IF(V10="Defect","",IF(COUNT(G10:K10)&lt;5,"",ROUND(G10*Config!$B$4+H10*Config!$B$5+I10*Config!$B$6+J10*Config!$B$7+K10*Config!$B$8,2)))</f>
        <v/>
      </c>
      <c r="R10" s="28" t="n">
        <f aca="false">IF(L10="","",VLOOKUP(L10,Config!$A$12:$B$21,2,0))</f>
        <v>0.85</v>
      </c>
      <c r="S10" s="28" t="n">
        <f aca="false">IF(N10="","",VLOOKUP(N10,Config!$D$12:$E$21,2,0))</f>
        <v>1</v>
      </c>
      <c r="T10" s="29" t="n">
        <f aca="false">IF(V10="Defect",IF(OR(X10="",G10="",R10=""),"",ROUND(MIN(100,VLOOKUP(X10,Config!$G$12:$H$16,2,0)*VLOOKUP(G10,Config!$I$12:$J$21,2,0)*R10),1)),IF(OR(Q10="",R10="",S10="",M10=""),"",ROUND(MIN(100,Q10*R10*S10/M10*20),1)))</f>
        <v>24.2</v>
      </c>
      <c r="U10" s="30" t="n">
        <f aca="false">IF(T10="","",RANK(T10,$T$4:$T$52))</f>
        <v>6</v>
      </c>
      <c r="V10" s="33" t="s">
        <v>199</v>
      </c>
      <c r="W10" s="1" t="s">
        <v>200</v>
      </c>
      <c r="X10" s="1" t="n">
        <v>2</v>
      </c>
    </row>
    <row r="11" customFormat="false" ht="56.25" hidden="false" customHeight="true" outlineLevel="0" collapsed="false">
      <c r="A11" s="22" t="s">
        <v>212</v>
      </c>
      <c r="B11" s="23" t="s">
        <v>213</v>
      </c>
      <c r="C11" s="22" t="s">
        <v>214</v>
      </c>
      <c r="D11" s="22" t="s">
        <v>171</v>
      </c>
      <c r="E11" s="22" t="s">
        <v>196</v>
      </c>
      <c r="F11" s="22" t="s">
        <v>215</v>
      </c>
      <c r="G11" s="25" t="n">
        <v>6</v>
      </c>
      <c r="H11" s="25" t="n">
        <v>7</v>
      </c>
      <c r="I11" s="25" t="n">
        <v>6</v>
      </c>
      <c r="J11" s="25" t="n">
        <v>7</v>
      </c>
      <c r="K11" s="25" t="n">
        <v>4</v>
      </c>
      <c r="L11" s="25" t="n">
        <v>5</v>
      </c>
      <c r="M11" s="25" t="n">
        <v>6</v>
      </c>
      <c r="N11" s="25" t="n">
        <v>5</v>
      </c>
      <c r="O11" s="27" t="s">
        <v>216</v>
      </c>
      <c r="P11" s="27" t="s">
        <v>217</v>
      </c>
      <c r="Q11" s="28" t="n">
        <f aca="false">IF(V11="Defect","",IF(COUNT(G11:K11)&lt;5,"",ROUND(G11*Config!$B$4+H11*Config!$B$5+I11*Config!$B$6+J11*Config!$B$7+K11*Config!$B$8,2)))</f>
        <v>6.25</v>
      </c>
      <c r="R11" s="28" t="n">
        <f aca="false">IF(L11="","",VLOOKUP(L11,Config!$A$12:$B$21,2,0))</f>
        <v>0.73</v>
      </c>
      <c r="S11" s="28" t="n">
        <f aca="false">IF(N11="","",VLOOKUP(N11,Config!$D$12:$E$21,2,0))</f>
        <v>0.85</v>
      </c>
      <c r="T11" s="29" t="n">
        <f aca="false">IF(V11="Defect",IF(OR(X11="",G11="",R11=""),"",ROUND(MIN(100,VLOOKUP(X11,Config!$G$12:$H$16,2,0)*VLOOKUP(G11,Config!$I$12:$J$21,2,0)*R11),1)),IF(OR(Q11="",R11="",S11="",M11=""),"",ROUND(MIN(100,Q11*R11*S11/M11*20),1)))</f>
        <v>12.9</v>
      </c>
      <c r="U11" s="30" t="n">
        <f aca="false">IF(T11="","",RANK(T11,$T$4:$T$52))</f>
        <v>12</v>
      </c>
      <c r="V11" s="33" t="s">
        <v>175</v>
      </c>
    </row>
    <row r="12" customFormat="false" ht="95.25" hidden="false" customHeight="true" outlineLevel="0" collapsed="false">
      <c r="A12" s="22" t="s">
        <v>218</v>
      </c>
      <c r="B12" s="23" t="s">
        <v>219</v>
      </c>
      <c r="C12" s="35" t="s">
        <v>220</v>
      </c>
      <c r="D12" s="22" t="s">
        <v>171</v>
      </c>
      <c r="E12" s="22" t="s">
        <v>172</v>
      </c>
      <c r="F12" s="22" t="s">
        <v>221</v>
      </c>
      <c r="G12" s="25" t="n">
        <v>6</v>
      </c>
      <c r="H12" s="25"/>
      <c r="I12" s="25"/>
      <c r="J12" s="25" t="n">
        <v>5</v>
      </c>
      <c r="K12" s="25"/>
      <c r="L12" s="25" t="n">
        <v>7</v>
      </c>
      <c r="M12" s="25"/>
      <c r="N12" s="25"/>
      <c r="O12" s="27" t="s">
        <v>222</v>
      </c>
      <c r="P12" s="27" t="s">
        <v>223</v>
      </c>
      <c r="Q12" s="28" t="str">
        <f aca="false">IF(V12="Defect","",IF(COUNT(G12:K12)&lt;5,"",ROUND(G12*Config!$B$4+H12*Config!$B$5+I12*Config!$B$6+J12*Config!$B$7+K12*Config!$B$8,2)))</f>
        <v/>
      </c>
      <c r="R12" s="28" t="n">
        <f aca="false">IF(L12="","",VLOOKUP(L12,Config!$A$12:$B$21,2,0))</f>
        <v>0.85</v>
      </c>
      <c r="S12" s="28" t="str">
        <f aca="false">IF(N12="","",VLOOKUP(N12,Config!$D$12:$E$21,2,0))</f>
        <v/>
      </c>
      <c r="T12" s="29" t="n">
        <f aca="false">IF(V12="Defect",IF(OR(X12="",G12="",R12=""),"",ROUND(MIN(100,VLOOKUP(X12,Config!$G$12:$H$16,2,0)*VLOOKUP(G12,Config!$I$12:$J$21,2,0)*R12),1)),IF(OR(Q12="",R12="",S12="",M12=""),"",ROUND(MIN(100,Q12*R12*S12/M12*20),1)))</f>
        <v>85</v>
      </c>
      <c r="U12" s="30" t="n">
        <f aca="false">IF(T12="","",RANK(T12,$T$4:$T$52))</f>
        <v>1</v>
      </c>
      <c r="V12" s="33" t="s">
        <v>199</v>
      </c>
      <c r="W12" s="1" t="s">
        <v>200</v>
      </c>
      <c r="X12" s="1" t="n">
        <v>5</v>
      </c>
    </row>
    <row r="13" customFormat="false" ht="111.75" hidden="false" customHeight="true" outlineLevel="0" collapsed="false">
      <c r="A13" s="22" t="s">
        <v>224</v>
      </c>
      <c r="B13" s="23" t="s">
        <v>225</v>
      </c>
      <c r="C13" s="22" t="s">
        <v>226</v>
      </c>
      <c r="D13" s="22" t="s">
        <v>171</v>
      </c>
      <c r="E13" s="22" t="s">
        <v>172</v>
      </c>
      <c r="F13" s="22" t="s">
        <v>215</v>
      </c>
      <c r="G13" s="25" t="n">
        <v>2</v>
      </c>
      <c r="H13" s="25" t="n">
        <v>6</v>
      </c>
      <c r="I13" s="25" t="n">
        <v>8</v>
      </c>
      <c r="J13" s="25" t="n">
        <v>7</v>
      </c>
      <c r="K13" s="25" t="n">
        <v>3</v>
      </c>
      <c r="L13" s="25" t="n">
        <v>4</v>
      </c>
      <c r="M13" s="25" t="n">
        <v>2</v>
      </c>
      <c r="N13" s="25" t="n">
        <v>2</v>
      </c>
      <c r="O13" s="27" t="s">
        <v>227</v>
      </c>
      <c r="P13" s="27" t="s">
        <v>228</v>
      </c>
      <c r="Q13" s="28" t="n">
        <f aca="false">IF(V13="Defect","",IF(COUNT(G13:K13)&lt;5,"",ROUND(G13*Config!$B$4+H13*Config!$B$5+I13*Config!$B$6+J13*Config!$B$7+K13*Config!$B$8,2)))</f>
        <v>5.6</v>
      </c>
      <c r="R13" s="28" t="n">
        <f aca="false">IF(L13="","",VLOOKUP(L13,Config!$A$12:$B$21,2,0))</f>
        <v>0.65</v>
      </c>
      <c r="S13" s="28" t="n">
        <f aca="false">IF(N13="","",VLOOKUP(N13,Config!$D$12:$E$21,2,0))</f>
        <v>1</v>
      </c>
      <c r="T13" s="29" t="n">
        <f aca="false">IF(V13="Defect",IF(OR(X13="",G13="",R13=""),"",ROUND(MIN(100,VLOOKUP(X13,Config!$G$12:$H$16,2,0)*VLOOKUP(G13,Config!$I$12:$J$21,2,0)*R13),1)),IF(OR(Q13="",R13="",S13="",M13=""),"",ROUND(MIN(100,Q13*R13*S13/M13*20),1)))</f>
        <v>36.4</v>
      </c>
      <c r="U13" s="30" t="n">
        <f aca="false">IF(T13="","",RANK(T13,$T$4:$T$52))</f>
        <v>3</v>
      </c>
      <c r="V13" s="33" t="s">
        <v>175</v>
      </c>
    </row>
    <row r="14" customFormat="false" ht="112.5" hidden="false" customHeight="true" outlineLevel="0" collapsed="false">
      <c r="A14" s="22" t="s">
        <v>229</v>
      </c>
      <c r="B14" s="23" t="s">
        <v>230</v>
      </c>
      <c r="C14" s="22"/>
      <c r="D14" s="22" t="s">
        <v>171</v>
      </c>
      <c r="E14" s="22" t="s">
        <v>172</v>
      </c>
      <c r="F14" s="22" t="s">
        <v>221</v>
      </c>
      <c r="G14" s="25" t="n">
        <v>6</v>
      </c>
      <c r="H14" s="25"/>
      <c r="I14" s="25"/>
      <c r="J14" s="25" t="n">
        <v>2</v>
      </c>
      <c r="K14" s="25"/>
      <c r="L14" s="25" t="n">
        <v>6</v>
      </c>
      <c r="M14" s="25"/>
      <c r="N14" s="25"/>
      <c r="O14" s="27" t="s">
        <v>231</v>
      </c>
      <c r="P14" s="27" t="s">
        <v>232</v>
      </c>
      <c r="Q14" s="28" t="str">
        <f aca="false">IF(V14="Defect","",IF(COUNT(G14:K14)&lt;5,"",ROUND(G14*Config!$B$4+H14*Config!$B$5+I14*Config!$B$6+J14*Config!$B$7+K14*Config!$B$8,2)))</f>
        <v/>
      </c>
      <c r="R14" s="28" t="n">
        <f aca="false">IF(L14="","",VLOOKUP(L14,Config!$A$12:$B$21,2,0))</f>
        <v>0.8</v>
      </c>
      <c r="S14" s="28" t="str">
        <f aca="false">IF(N14="","",VLOOKUP(N14,Config!$D$12:$E$21,2,0))</f>
        <v/>
      </c>
      <c r="T14" s="29" t="n">
        <f aca="false">IF(V14="Defect",IF(OR(X14="",G14="",R14=""),"",ROUND(MIN(100,VLOOKUP(X14,Config!$G$12:$H$16,2,0)*VLOOKUP(G14,Config!$I$12:$J$21,2,0)*R14),1)),IF(OR(Q14="",R14="",S14="",M14=""),"",ROUND(MIN(100,Q14*R14*S14/M14*20),1)))</f>
        <v>8</v>
      </c>
      <c r="U14" s="30" t="n">
        <f aca="false">IF(T14="","",RANK(T14,$T$4:$T$52))</f>
        <v>16</v>
      </c>
      <c r="V14" s="33" t="s">
        <v>199</v>
      </c>
      <c r="W14" s="1" t="s">
        <v>200</v>
      </c>
      <c r="X14" s="1" t="n">
        <v>1</v>
      </c>
    </row>
    <row r="15" customFormat="false" ht="14.25" hidden="false" customHeight="true" outlineLevel="0" collapsed="false">
      <c r="A15" s="22" t="s">
        <v>233</v>
      </c>
      <c r="B15" s="23" t="s">
        <v>234</v>
      </c>
      <c r="C15" s="22" t="s">
        <v>235</v>
      </c>
      <c r="D15" s="22" t="s">
        <v>171</v>
      </c>
      <c r="E15" s="22" t="s">
        <v>172</v>
      </c>
      <c r="F15" s="22" t="s">
        <v>215</v>
      </c>
      <c r="G15" s="25" t="n">
        <v>8</v>
      </c>
      <c r="H15" s="25" t="n">
        <v>6</v>
      </c>
      <c r="I15" s="25" t="n">
        <v>7</v>
      </c>
      <c r="J15" s="25" t="n">
        <v>10</v>
      </c>
      <c r="K15" s="25" t="n">
        <v>5</v>
      </c>
      <c r="L15" s="25" t="n">
        <v>6</v>
      </c>
      <c r="M15" s="25" t="n">
        <v>4</v>
      </c>
      <c r="N15" s="25" t="n">
        <v>7</v>
      </c>
      <c r="O15" s="27" t="s">
        <v>236</v>
      </c>
      <c r="P15" s="27" t="s">
        <v>237</v>
      </c>
      <c r="Q15" s="28" t="n">
        <f aca="false">IF(V15="Defect","",IF(COUNT(G15:K15)&lt;5,"",ROUND(G15*Config!$B$4+H15*Config!$B$5+I15*Config!$B$6+J15*Config!$B$7+K15*Config!$B$8,2)))</f>
        <v>7.35</v>
      </c>
      <c r="R15" s="28" t="n">
        <f aca="false">IF(L15="","",VLOOKUP(L15,Config!$A$12:$B$21,2,0))</f>
        <v>0.8</v>
      </c>
      <c r="S15" s="28" t="n">
        <f aca="false">IF(N15="","",VLOOKUP(N15,Config!$D$12:$E$21,2,0))</f>
        <v>0.75</v>
      </c>
      <c r="T15" s="29" t="n">
        <f aca="false">IF(V15="Defect",IF(OR(X15="",G15="",R15=""),"",ROUND(MIN(100,VLOOKUP(X15,Config!$G$12:$H$16,2,0)*VLOOKUP(G15,Config!$I$12:$J$21,2,0)*R15),1)),IF(OR(Q15="",R15="",S15="",M15=""),"",ROUND(MIN(100,Q15*R15*S15/M15*20),1)))</f>
        <v>22.1</v>
      </c>
      <c r="U15" s="30" t="n">
        <f aca="false">IF(T15="","",RANK(T15,$T$4:$T$52))</f>
        <v>7</v>
      </c>
      <c r="V15" s="33" t="s">
        <v>175</v>
      </c>
      <c r="W15" s="1" t="s">
        <v>200</v>
      </c>
    </row>
    <row r="16" customFormat="false" ht="14.25" hidden="false" customHeight="true" outlineLevel="0" collapsed="false">
      <c r="A16" s="22" t="s">
        <v>238</v>
      </c>
      <c r="B16" s="23" t="s">
        <v>239</v>
      </c>
      <c r="C16" s="22" t="s">
        <v>240</v>
      </c>
      <c r="D16" s="22" t="s">
        <v>171</v>
      </c>
      <c r="E16" s="22" t="s">
        <v>172</v>
      </c>
      <c r="F16" s="22" t="s">
        <v>215</v>
      </c>
      <c r="G16" s="25" t="n">
        <v>1</v>
      </c>
      <c r="H16" s="25"/>
      <c r="I16" s="25"/>
      <c r="J16" s="25" t="n">
        <v>5</v>
      </c>
      <c r="K16" s="25"/>
      <c r="L16" s="25" t="n">
        <v>10</v>
      </c>
      <c r="M16" s="25" t="n">
        <v>1</v>
      </c>
      <c r="N16" s="25" t="n">
        <v>1</v>
      </c>
      <c r="O16" s="27" t="s">
        <v>241</v>
      </c>
      <c r="P16" s="27" t="s">
        <v>242</v>
      </c>
      <c r="Q16" s="28" t="str">
        <f aca="false">IF(V16="Defect","",IF(COUNT(G16:K16)&lt;5,"",ROUND(G16*Config!$B$4+H16*Config!$B$5+I16*Config!$B$6+J16*Config!$B$7+K16*Config!$B$8,2)))</f>
        <v/>
      </c>
      <c r="R16" s="28" t="n">
        <f aca="false">IF(L16="","",VLOOKUP(L16,Config!$A$12:$B$21,2,0))</f>
        <v>1</v>
      </c>
      <c r="S16" s="28" t="n">
        <f aca="false">IF(N16="","",VLOOKUP(N16,Config!$D$12:$E$21,2,0))</f>
        <v>1</v>
      </c>
      <c r="T16" s="29" t="n">
        <f aca="false">IF(V16="Defect",IF(OR(X16="",G16="",R16=""),"",ROUND(MIN(100,VLOOKUP(X16,Config!$G$12:$H$16,2,0)*VLOOKUP(G16,Config!$I$12:$J$21,2,0)*R16),1)),IF(OR(Q16="",R16="",S16="",M16=""),"",ROUND(MIN(100,Q16*R16*S16/M16*20),1)))</f>
        <v>7.5</v>
      </c>
      <c r="U16" s="30" t="n">
        <f aca="false">IF(T16="","",RANK(T16,$T$4:$T$52))</f>
        <v>17</v>
      </c>
      <c r="V16" s="36" t="s">
        <v>199</v>
      </c>
      <c r="W16" s="1" t="s">
        <v>200</v>
      </c>
      <c r="X16" s="1" t="n">
        <v>1</v>
      </c>
    </row>
    <row r="17" customFormat="false" ht="195.75" hidden="false" customHeight="true" outlineLevel="0" collapsed="false">
      <c r="A17" s="22" t="s">
        <v>243</v>
      </c>
      <c r="B17" s="23" t="s">
        <v>244</v>
      </c>
      <c r="C17" s="22" t="s">
        <v>245</v>
      </c>
      <c r="D17" s="22" t="s">
        <v>171</v>
      </c>
      <c r="E17" s="22" t="s">
        <v>172</v>
      </c>
      <c r="F17" s="22" t="s">
        <v>215</v>
      </c>
      <c r="G17" s="25" t="n">
        <v>1</v>
      </c>
      <c r="H17" s="25"/>
      <c r="I17" s="25"/>
      <c r="J17" s="25"/>
      <c r="K17" s="25"/>
      <c r="L17" s="25" t="n">
        <v>9</v>
      </c>
      <c r="M17" s="25"/>
      <c r="N17" s="25"/>
      <c r="O17" s="27" t="s">
        <v>246</v>
      </c>
      <c r="P17" s="27" t="s">
        <v>247</v>
      </c>
      <c r="Q17" s="28" t="str">
        <f aca="false">IF(V17="Defect","",IF(COUNT(G17:K17)&lt;5,"",ROUND(G17*Config!$B$4+H17*Config!$B$5+I17*Config!$B$6+J17*Config!$B$7+K17*Config!$B$8,2)))</f>
        <v/>
      </c>
      <c r="R17" s="28" t="n">
        <f aca="false">IF(L17="","",VLOOKUP(L17,Config!$A$12:$B$21,2,0))</f>
        <v>0.95</v>
      </c>
      <c r="S17" s="28" t="str">
        <f aca="false">IF(N17="","",VLOOKUP(N17,Config!$D$12:$E$21,2,0))</f>
        <v/>
      </c>
      <c r="T17" s="29" t="n">
        <f aca="false">IF(V17="Defect",IF(OR(X17="",G17="",R17=""),"",ROUND(MIN(100,VLOOKUP(X17,Config!$G$12:$H$16,2,0)*VLOOKUP(G17,Config!$I$12:$J$21,2,0)*R17),1)),IF(OR(Q17="",R17="",S17="",M17=""),"",ROUND(MIN(100,Q17*R17*S17/M17*20),1)))</f>
        <v>21.4</v>
      </c>
      <c r="U17" s="30" t="n">
        <f aca="false">IF(T17="","",RANK(T17,$T$4:$T$52))</f>
        <v>8</v>
      </c>
      <c r="V17" s="36" t="s">
        <v>199</v>
      </c>
      <c r="W17" s="1" t="s">
        <v>200</v>
      </c>
      <c r="X17" s="1" t="n">
        <v>2</v>
      </c>
    </row>
    <row r="18" customFormat="false" ht="14.25" hidden="false" customHeight="true" outlineLevel="0" collapsed="false">
      <c r="A18" s="22" t="s">
        <v>248</v>
      </c>
      <c r="B18" s="23" t="s">
        <v>249</v>
      </c>
      <c r="C18" s="22" t="s">
        <v>250</v>
      </c>
      <c r="D18" s="22" t="s">
        <v>171</v>
      </c>
      <c r="E18" s="22" t="s">
        <v>172</v>
      </c>
      <c r="F18" s="22" t="s">
        <v>215</v>
      </c>
      <c r="G18" s="25" t="n">
        <v>4</v>
      </c>
      <c r="H18" s="25" t="n">
        <v>6</v>
      </c>
      <c r="I18" s="25" t="n">
        <v>4</v>
      </c>
      <c r="J18" s="25" t="n">
        <v>7</v>
      </c>
      <c r="K18" s="25" t="n">
        <v>9</v>
      </c>
      <c r="L18" s="25" t="n">
        <v>5</v>
      </c>
      <c r="M18" s="25" t="n">
        <v>7</v>
      </c>
      <c r="N18" s="25" t="n">
        <v>5</v>
      </c>
      <c r="O18" s="27" t="s">
        <v>251</v>
      </c>
      <c r="P18" s="27" t="s">
        <v>252</v>
      </c>
      <c r="Q18" s="28" t="n">
        <f aca="false">IF(V18="Defect","",IF(COUNT(G18:K18)&lt;5,"",ROUND(G18*Config!$B$4+H18*Config!$B$5+I18*Config!$B$6+J18*Config!$B$7+K18*Config!$B$8,2)))</f>
        <v>5.6</v>
      </c>
      <c r="R18" s="28" t="n">
        <f aca="false">IF(L18="","",VLOOKUP(L18,Config!$A$12:$B$21,2,0))</f>
        <v>0.73</v>
      </c>
      <c r="S18" s="28" t="n">
        <f aca="false">IF(N18="","",VLOOKUP(N18,Config!$D$12:$E$21,2,0))</f>
        <v>0.85</v>
      </c>
      <c r="T18" s="29" t="n">
        <f aca="false">IF(V18="Defect",IF(OR(X18="",G18="",R18=""),"",ROUND(MIN(100,VLOOKUP(X18,Config!$G$12:$H$16,2,0)*VLOOKUP(G18,Config!$I$12:$J$21,2,0)*R18),1)),IF(OR(Q18="",R18="",S18="",M18=""),"",ROUND(MIN(100,Q18*R18*S18/M18*20),1)))</f>
        <v>9.9</v>
      </c>
      <c r="U18" s="30" t="n">
        <f aca="false">IF(T18="","",RANK(T18,$T$4:$T$52))</f>
        <v>14</v>
      </c>
      <c r="V18" s="33" t="s">
        <v>175</v>
      </c>
    </row>
    <row r="19" customFormat="false" ht="14.25" hidden="false" customHeight="true" outlineLevel="0" collapsed="false">
      <c r="A19" s="22" t="s">
        <v>253</v>
      </c>
      <c r="B19" s="23" t="s">
        <v>254</v>
      </c>
      <c r="C19" s="22" t="s">
        <v>255</v>
      </c>
      <c r="D19" s="22" t="s">
        <v>171</v>
      </c>
      <c r="E19" s="22" t="s">
        <v>172</v>
      </c>
      <c r="F19" s="22" t="s">
        <v>256</v>
      </c>
      <c r="G19" s="25" t="n">
        <v>2</v>
      </c>
      <c r="H19" s="25" t="n">
        <v>5</v>
      </c>
      <c r="I19" s="25" t="n">
        <v>4</v>
      </c>
      <c r="J19" s="25" t="n">
        <v>9</v>
      </c>
      <c r="K19" s="25" t="n">
        <v>6</v>
      </c>
      <c r="L19" s="25" t="n">
        <v>5</v>
      </c>
      <c r="M19" s="25" t="n">
        <v>2</v>
      </c>
      <c r="N19" s="25" t="n">
        <v>5</v>
      </c>
      <c r="O19" s="27" t="s">
        <v>257</v>
      </c>
      <c r="P19" s="27" t="s">
        <v>258</v>
      </c>
      <c r="Q19" s="28" t="n">
        <f aca="false">IF(V19="Defect","",IF(COUNT(G19:K19)&lt;5,"",ROUND(G19*Config!$B$4+H19*Config!$B$5+I19*Config!$B$6+J19*Config!$B$7+K19*Config!$B$8,2)))</f>
        <v>5.05</v>
      </c>
      <c r="R19" s="28" t="n">
        <f aca="false">IF(L19="","",VLOOKUP(L19,Config!$A$12:$B$21,2,0))</f>
        <v>0.73</v>
      </c>
      <c r="S19" s="28" t="n">
        <f aca="false">IF(N19="","",VLOOKUP(N19,Config!$D$12:$E$21,2,0))</f>
        <v>0.85</v>
      </c>
      <c r="T19" s="29" t="n">
        <f aca="false">IF(V19="Defect",IF(OR(X19="",G19="",R19=""),"",ROUND(MIN(100,VLOOKUP(X19,Config!$G$12:$H$16,2,0)*VLOOKUP(G19,Config!$I$12:$J$21,2,0)*R19),1)),IF(OR(Q19="",R19="",S19="",M19=""),"",ROUND(MIN(100,Q19*R19*S19/M19*20),1)))</f>
        <v>31.3</v>
      </c>
      <c r="U19" s="30" t="n">
        <f aca="false">IF(T19="","",RANK(T19,$T$4:$T$52))</f>
        <v>4</v>
      </c>
      <c r="V19" s="36" t="s">
        <v>175</v>
      </c>
    </row>
    <row r="20" customFormat="false" ht="14.25" hidden="false" customHeight="true" outlineLevel="0" collapsed="false">
      <c r="A20" s="22" t="s">
        <v>259</v>
      </c>
      <c r="B20" s="23" t="s">
        <v>260</v>
      </c>
      <c r="C20" s="22" t="s">
        <v>261</v>
      </c>
      <c r="D20" s="22" t="s">
        <v>262</v>
      </c>
      <c r="E20" s="22" t="s">
        <v>172</v>
      </c>
      <c r="F20" s="22" t="s">
        <v>256</v>
      </c>
      <c r="G20" s="25" t="n">
        <v>5</v>
      </c>
      <c r="H20" s="25" t="n">
        <v>7</v>
      </c>
      <c r="I20" s="25" t="n">
        <v>5</v>
      </c>
      <c r="J20" s="25" t="n">
        <v>5</v>
      </c>
      <c r="K20" s="25" t="n">
        <v>5</v>
      </c>
      <c r="L20" s="25" t="n">
        <v>4</v>
      </c>
      <c r="M20" s="25" t="n">
        <v>6</v>
      </c>
      <c r="N20" s="25" t="n">
        <v>6</v>
      </c>
      <c r="O20" s="27" t="s">
        <v>263</v>
      </c>
      <c r="P20" s="27" t="s">
        <v>264</v>
      </c>
      <c r="Q20" s="28" t="n">
        <f aca="false">IF(V20="Defect","",IF(COUNT(G20:K20)&lt;5,"",ROUND(G20*Config!$B$4+H20*Config!$B$5+I20*Config!$B$6+J20*Config!$B$7+K20*Config!$B$8,2)))</f>
        <v>5.5</v>
      </c>
      <c r="R20" s="28" t="n">
        <f aca="false">IF(L20="","",VLOOKUP(L20,Config!$A$12:$B$21,2,0))</f>
        <v>0.65</v>
      </c>
      <c r="S20" s="28" t="n">
        <f aca="false">IF(N20="","",VLOOKUP(N20,Config!$D$12:$E$21,2,0))</f>
        <v>0.8</v>
      </c>
      <c r="T20" s="29" t="n">
        <f aca="false">IF(V20="Defect",IF(OR(X20="",G20="",R20=""),"",ROUND(MIN(100,VLOOKUP(X20,Config!$G$12:$H$16,2,0)*VLOOKUP(G20,Config!$I$12:$J$21,2,0)*R20),1)),IF(OR(Q20="",R20="",S20="",M20=""),"",ROUND(MIN(100,Q20*R20*S20/M20*20),1)))</f>
        <v>9.5</v>
      </c>
      <c r="U20" s="30" t="n">
        <f aca="false">IF(T20="","",RANK(T20,$T$4:$T$52))</f>
        <v>15</v>
      </c>
      <c r="V20" s="36" t="s">
        <v>175</v>
      </c>
    </row>
    <row r="21" customFormat="false" ht="14.25" hidden="false" customHeight="true" outlineLevel="0" collapsed="false">
      <c r="A21" s="22" t="s">
        <v>265</v>
      </c>
      <c r="B21" s="23" t="s">
        <v>266</v>
      </c>
      <c r="C21" s="22" t="s">
        <v>267</v>
      </c>
      <c r="D21" s="22" t="s">
        <v>268</v>
      </c>
      <c r="E21" s="22"/>
      <c r="F21" s="22"/>
      <c r="G21" s="25"/>
      <c r="H21" s="25"/>
      <c r="I21" s="25"/>
      <c r="J21" s="25"/>
      <c r="K21" s="25"/>
      <c r="L21" s="25"/>
      <c r="M21" s="25"/>
      <c r="N21" s="25"/>
      <c r="O21" s="27"/>
      <c r="P21" s="27" t="s">
        <v>269</v>
      </c>
      <c r="Q21" s="28" t="str">
        <f aca="false">IF(V21="Defect","",IF(COUNT(G21:K21)&lt;5,"",ROUND(G21*Config!$B$4+H21*Config!$B$5+I21*Config!$B$6+J21*Config!$B$7+K21*Config!$B$8,2)))</f>
        <v/>
      </c>
      <c r="R21" s="28" t="str">
        <f aca="false">IF(L21="","",VLOOKUP(L21,Config!$A$12:$B$21,2,0))</f>
        <v/>
      </c>
      <c r="S21" s="28" t="str">
        <f aca="false">IF(N21="","",VLOOKUP(N21,Config!$D$12:$E$21,2,0))</f>
        <v/>
      </c>
      <c r="T21" s="29" t="str">
        <f aca="false">IF(V21="Defect",IF(OR(X21="",G21="",R21=""),"",ROUND(MIN(100,VLOOKUP(X21,Config!$G$12:$H$16,2,0)*VLOOKUP(G21,Config!$I$12:$J$21,2,0)*R21),1)),IF(OR(Q21="",R21="",S21="",M21=""),"",ROUND(MIN(100,Q21*R21*S21/M21*20),1)))</f>
        <v/>
      </c>
      <c r="U21" s="30" t="str">
        <f aca="false">IF(T21="","",RANK(T21,$T$4:$T$52))</f>
        <v/>
      </c>
      <c r="V21" s="36" t="s">
        <v>175</v>
      </c>
    </row>
    <row r="22" customFormat="false" ht="14.25" hidden="false" customHeight="true" outlineLevel="0" collapsed="false">
      <c r="A22" s="22" t="s">
        <v>270</v>
      </c>
      <c r="B22" s="23" t="s">
        <v>271</v>
      </c>
      <c r="C22" s="22" t="s">
        <v>272</v>
      </c>
      <c r="D22" s="22" t="s">
        <v>268</v>
      </c>
      <c r="E22" s="22"/>
      <c r="F22" s="22"/>
      <c r="G22" s="25"/>
      <c r="H22" s="25"/>
      <c r="I22" s="25"/>
      <c r="J22" s="25"/>
      <c r="K22" s="25"/>
      <c r="L22" s="25"/>
      <c r="M22" s="25"/>
      <c r="N22" s="25"/>
      <c r="O22" s="27"/>
      <c r="P22" s="27" t="s">
        <v>273</v>
      </c>
      <c r="Q22" s="28" t="str">
        <f aca="false">IF(V22="Defect","",IF(COUNT(G22:K22)&lt;5,"",ROUND(G22*Config!$B$4+H22*Config!$B$5+I22*Config!$B$6+J22*Config!$B$7+K22*Config!$B$8,2)))</f>
        <v/>
      </c>
      <c r="R22" s="28" t="str">
        <f aca="false">IF(L22="","",VLOOKUP(L22,Config!$A$12:$B$21,2,0))</f>
        <v/>
      </c>
      <c r="S22" s="28" t="str">
        <f aca="false">IF(N22="","",VLOOKUP(N22,Config!$D$12:$E$21,2,0))</f>
        <v/>
      </c>
      <c r="T22" s="29" t="str">
        <f aca="false">IF(V22="Defect",IF(OR(X22="",G22="",R22=""),"",ROUND(MIN(100,VLOOKUP(X22,Config!$G$12:$H$16,2,0)*VLOOKUP(G22,Config!$I$12:$J$21,2,0)*R22),1)),IF(OR(Q22="",R22="",S22="",M22=""),"",ROUND(MIN(100,Q22*R22*S22/M22*20),1)))</f>
        <v/>
      </c>
      <c r="U22" s="30" t="str">
        <f aca="false">IF(T22="","",RANK(T22,$T$4:$T$52))</f>
        <v/>
      </c>
      <c r="V22" s="36" t="s">
        <v>175</v>
      </c>
    </row>
    <row r="23" customFormat="false" ht="14.25" hidden="false" customHeight="true" outlineLevel="0" collapsed="false">
      <c r="A23" s="22"/>
      <c r="B23" s="23"/>
      <c r="C23" s="22"/>
      <c r="D23" s="22"/>
      <c r="E23" s="22"/>
      <c r="F23" s="22"/>
      <c r="G23" s="25"/>
      <c r="H23" s="25"/>
      <c r="I23" s="25"/>
      <c r="J23" s="25"/>
      <c r="K23" s="25"/>
      <c r="L23" s="25"/>
      <c r="M23" s="25"/>
      <c r="N23" s="25"/>
      <c r="O23" s="27"/>
      <c r="P23" s="27"/>
      <c r="Q23" s="28" t="str">
        <f aca="false">IF(V23="Defect","",IF(COUNT(G23:K23)&lt;5,"",ROUND(G23*Config!$B$4+H23*Config!$B$5+I23*Config!$B$6+J23*Config!$B$7+K23*Config!$B$8,2)))</f>
        <v/>
      </c>
      <c r="R23" s="28" t="str">
        <f aca="false">IF(L23="","",VLOOKUP(L23,Config!$A$12:$B$21,2,0))</f>
        <v/>
      </c>
      <c r="S23" s="28" t="str">
        <f aca="false">IF(N23="","",VLOOKUP(N23,Config!$D$12:$E$21,2,0))</f>
        <v/>
      </c>
      <c r="T23" s="29" t="str">
        <f aca="false">IF(V23="Defect",IF(OR(X23="",G23="",R23=""),"",ROUND(MIN(100,VLOOKUP(X23,Config!$G$12:$H$16,2,0)*VLOOKUP(G23,Config!$I$12:$J$21,2,0)*R23),1)),IF(OR(Q23="",R23="",S23="",M23=""),"",ROUND(MIN(100,Q23*R23*S23/M23*20),1)))</f>
        <v/>
      </c>
      <c r="U23" s="30" t="str">
        <f aca="false">IF(T23="","",RANK(T23,$T$4:$T$52))</f>
        <v/>
      </c>
      <c r="V23" s="36"/>
    </row>
    <row r="24" customFormat="false" ht="14.25" hidden="false" customHeight="true" outlineLevel="0" collapsed="false">
      <c r="A24" s="22"/>
      <c r="B24" s="23"/>
      <c r="C24" s="22"/>
      <c r="D24" s="22"/>
      <c r="E24" s="22"/>
      <c r="F24" s="22"/>
      <c r="G24" s="25"/>
      <c r="H24" s="25"/>
      <c r="I24" s="25"/>
      <c r="J24" s="25"/>
      <c r="K24" s="25"/>
      <c r="L24" s="25"/>
      <c r="M24" s="25"/>
      <c r="N24" s="25"/>
      <c r="O24" s="27"/>
      <c r="P24" s="27"/>
      <c r="Q24" s="28" t="str">
        <f aca="false">IF(V24="Defect","",IF(COUNT(G24:K24)&lt;5,"",ROUND(G24*Config!$B$4+H24*Config!$B$5+I24*Config!$B$6+J24*Config!$B$7+K24*Config!$B$8,2)))</f>
        <v/>
      </c>
      <c r="R24" s="28" t="str">
        <f aca="false">IF(L24="","",VLOOKUP(L24,Config!$A$12:$B$21,2,0))</f>
        <v/>
      </c>
      <c r="S24" s="28" t="str">
        <f aca="false">IF(N24="","",VLOOKUP(N24,Config!$D$12:$E$21,2,0))</f>
        <v/>
      </c>
      <c r="T24" s="29" t="str">
        <f aca="false">IF(V24="Defect",IF(OR(X24="",G24="",R24=""),"",ROUND(MIN(100,VLOOKUP(X24,Config!$G$12:$H$16,2,0)*VLOOKUP(G24,Config!$I$12:$J$21,2,0)*R24),1)),IF(OR(Q24="",R24="",S24="",M24=""),"",ROUND(MIN(100,Q24*R24*S24/M24*20),1)))</f>
        <v/>
      </c>
      <c r="U24" s="30" t="str">
        <f aca="false">IF(T24="","",RANK(T24,$T$4:$T$52))</f>
        <v/>
      </c>
      <c r="V24" s="36"/>
    </row>
    <row r="25" customFormat="false" ht="14.25" hidden="false" customHeight="true" outlineLevel="0" collapsed="false">
      <c r="A25" s="22"/>
      <c r="B25" s="23"/>
      <c r="C25" s="22"/>
      <c r="D25" s="22"/>
      <c r="E25" s="22"/>
      <c r="F25" s="22"/>
      <c r="G25" s="25"/>
      <c r="H25" s="25"/>
      <c r="I25" s="25"/>
      <c r="J25" s="25"/>
      <c r="K25" s="25"/>
      <c r="L25" s="25"/>
      <c r="M25" s="25"/>
      <c r="N25" s="25"/>
      <c r="O25" s="27"/>
      <c r="P25" s="27"/>
      <c r="Q25" s="28" t="str">
        <f aca="false">IF(V25="Defect","",IF(COUNT(G25:K25)&lt;5,"",ROUND(G25*Config!$B$4+H25*Config!$B$5+I25*Config!$B$6+J25*Config!$B$7+K25*Config!$B$8,2)))</f>
        <v/>
      </c>
      <c r="R25" s="28" t="str">
        <f aca="false">IF(L25="","",VLOOKUP(L25,Config!$A$12:$B$21,2,0))</f>
        <v/>
      </c>
      <c r="S25" s="28" t="str">
        <f aca="false">IF(N25="","",VLOOKUP(N25,Config!$D$12:$E$21,2,0))</f>
        <v/>
      </c>
      <c r="T25" s="29" t="str">
        <f aca="false">IF(V25="Defect",IF(OR(X25="",G25="",R25=""),"",ROUND(MIN(100,VLOOKUP(X25,Config!$G$12:$H$16,2,0)*VLOOKUP(G25,Config!$I$12:$J$21,2,0)*R25),1)),IF(OR(Q25="",R25="",S25="",M25=""),"",ROUND(MIN(100,Q25*R25*S25/M25*20),1)))</f>
        <v/>
      </c>
      <c r="U25" s="30" t="str">
        <f aca="false">IF(T25="","",RANK(T25,$T$4:$T$52))</f>
        <v/>
      </c>
      <c r="V25" s="36"/>
    </row>
    <row r="26" customFormat="false" ht="14.25" hidden="false" customHeight="true" outlineLevel="0" collapsed="false">
      <c r="A26" s="22"/>
      <c r="B26" s="23"/>
      <c r="C26" s="22"/>
      <c r="D26" s="22"/>
      <c r="E26" s="22"/>
      <c r="F26" s="22"/>
      <c r="G26" s="25"/>
      <c r="H26" s="25"/>
      <c r="I26" s="25"/>
      <c r="J26" s="25"/>
      <c r="K26" s="25"/>
      <c r="L26" s="25"/>
      <c r="M26" s="25"/>
      <c r="N26" s="25"/>
      <c r="O26" s="27"/>
      <c r="P26" s="27"/>
      <c r="Q26" s="28" t="str">
        <f aca="false">IF(V26="Defect","",IF(COUNT(G26:K26)&lt;5,"",ROUND(G26*Config!$B$4+H26*Config!$B$5+I26*Config!$B$6+J26*Config!$B$7+K26*Config!$B$8,2)))</f>
        <v/>
      </c>
      <c r="R26" s="28" t="str">
        <f aca="false">IF(L26="","",VLOOKUP(L26,Config!$A$12:$B$21,2,0))</f>
        <v/>
      </c>
      <c r="S26" s="28" t="str">
        <f aca="false">IF(N26="","",VLOOKUP(N26,Config!$D$12:$E$21,2,0))</f>
        <v/>
      </c>
      <c r="T26" s="29" t="str">
        <f aca="false">IF(V26="Defect",IF(OR(X26="",G26="",R26=""),"",ROUND(MIN(100,VLOOKUP(X26,Config!$G$12:$H$16,2,0)*VLOOKUP(G26,Config!$I$12:$J$21,2,0)*R26),1)),IF(OR(Q26="",R26="",S26="",M26=""),"",ROUND(MIN(100,Q26*R26*S26/M26*20),1)))</f>
        <v/>
      </c>
      <c r="U26" s="30" t="str">
        <f aca="false">IF(T26="","",RANK(T26,$T$4:$T$52))</f>
        <v/>
      </c>
      <c r="V26" s="36"/>
    </row>
    <row r="27" customFormat="false" ht="14.25" hidden="false" customHeight="true" outlineLevel="0" collapsed="false">
      <c r="A27" s="22"/>
      <c r="B27" s="23"/>
      <c r="C27" s="22"/>
      <c r="D27" s="22"/>
      <c r="E27" s="22"/>
      <c r="F27" s="22"/>
      <c r="G27" s="25"/>
      <c r="H27" s="25"/>
      <c r="I27" s="25"/>
      <c r="J27" s="25"/>
      <c r="K27" s="25"/>
      <c r="L27" s="25"/>
      <c r="M27" s="25"/>
      <c r="N27" s="25"/>
      <c r="O27" s="27"/>
      <c r="P27" s="27"/>
      <c r="Q27" s="28" t="str">
        <f aca="false">IF(V27="Defect","",IF(COUNT(G27:K27)&lt;5,"",ROUND(G27*Config!$B$4+H27*Config!$B$5+I27*Config!$B$6+J27*Config!$B$7+K27*Config!$B$8,2)))</f>
        <v/>
      </c>
      <c r="R27" s="28" t="str">
        <f aca="false">IF(L27="","",VLOOKUP(L27,Config!$A$12:$B$21,2,0))</f>
        <v/>
      </c>
      <c r="S27" s="28" t="str">
        <f aca="false">IF(N27="","",VLOOKUP(N27,Config!$D$12:$E$21,2,0))</f>
        <v/>
      </c>
      <c r="T27" s="29" t="str">
        <f aca="false">IF(V27="Defect",IF(OR(X27="",G27="",R27=""),"",ROUND(MIN(100,VLOOKUP(X27,Config!$G$12:$H$16,2,0)*VLOOKUP(G27,Config!$I$12:$J$21,2,0)*R27),1)),IF(OR(Q27="",R27="",S27="",M27=""),"",ROUND(MIN(100,Q27*R27*S27/M27*20),1)))</f>
        <v/>
      </c>
      <c r="U27" s="30" t="str">
        <f aca="false">IF(T27="","",RANK(T27,$T$4:$T$52))</f>
        <v/>
      </c>
      <c r="V27" s="36"/>
    </row>
    <row r="28" customFormat="false" ht="14.25" hidden="false" customHeight="true" outlineLevel="0" collapsed="false">
      <c r="A28" s="22"/>
      <c r="B28" s="23"/>
      <c r="C28" s="22"/>
      <c r="D28" s="22"/>
      <c r="E28" s="22"/>
      <c r="F28" s="22"/>
      <c r="G28" s="25"/>
      <c r="H28" s="25"/>
      <c r="I28" s="25"/>
      <c r="J28" s="25"/>
      <c r="K28" s="25"/>
      <c r="L28" s="25"/>
      <c r="M28" s="25"/>
      <c r="N28" s="25"/>
      <c r="O28" s="27"/>
      <c r="P28" s="27"/>
      <c r="Q28" s="28" t="str">
        <f aca="false">IF(V28="Defect","",IF(COUNT(G28:K28)&lt;5,"",ROUND(G28*Config!$B$4+H28*Config!$B$5+I28*Config!$B$6+J28*Config!$B$7+K28*Config!$B$8,2)))</f>
        <v/>
      </c>
      <c r="R28" s="28" t="str">
        <f aca="false">IF(L28="","",VLOOKUP(L28,Config!$A$12:$B$21,2,0))</f>
        <v/>
      </c>
      <c r="S28" s="28" t="str">
        <f aca="false">IF(N28="","",VLOOKUP(N28,Config!$D$12:$E$21,2,0))</f>
        <v/>
      </c>
      <c r="T28" s="29" t="str">
        <f aca="false">IF(V28="Defect",IF(OR(X28="",G28="",R28=""),"",ROUND(MIN(100,VLOOKUP(X28,Config!$G$12:$H$16,2,0)*VLOOKUP(G28,Config!$I$12:$J$21,2,0)*R28),1)),IF(OR(Q28="",R28="",S28="",M28=""),"",ROUND(MIN(100,Q28*R28*S28/M28*20),1)))</f>
        <v/>
      </c>
      <c r="U28" s="30" t="str">
        <f aca="false">IF(T28="","",RANK(T28,$T$4:$T$52))</f>
        <v/>
      </c>
      <c r="V28" s="36"/>
    </row>
    <row r="29" customFormat="false" ht="14.25" hidden="false" customHeight="true" outlineLevel="0" collapsed="false">
      <c r="A29" s="22"/>
      <c r="B29" s="23"/>
      <c r="C29" s="22"/>
      <c r="D29" s="22"/>
      <c r="E29" s="22"/>
      <c r="F29" s="22"/>
      <c r="G29" s="25"/>
      <c r="H29" s="25"/>
      <c r="I29" s="25"/>
      <c r="J29" s="25"/>
      <c r="K29" s="25"/>
      <c r="L29" s="25"/>
      <c r="M29" s="25"/>
      <c r="N29" s="25"/>
      <c r="O29" s="27"/>
      <c r="P29" s="27"/>
      <c r="Q29" s="28" t="str">
        <f aca="false">IF(V29="Defect","",IF(COUNT(G29:K29)&lt;5,"",ROUND(G29*Config!$B$4+H29*Config!$B$5+I29*Config!$B$6+J29*Config!$B$7+K29*Config!$B$8,2)))</f>
        <v/>
      </c>
      <c r="R29" s="28" t="str">
        <f aca="false">IF(L29="","",VLOOKUP(L29,Config!$A$12:$B$21,2,0))</f>
        <v/>
      </c>
      <c r="S29" s="28" t="str">
        <f aca="false">IF(N29="","",VLOOKUP(N29,Config!$D$12:$E$21,2,0))</f>
        <v/>
      </c>
      <c r="T29" s="29" t="str">
        <f aca="false">IF(V29="Defect",IF(OR(X29="",G29="",R29=""),"",ROUND(MIN(100,VLOOKUP(X29,Config!$G$12:$H$16,2,0)*VLOOKUP(G29,Config!$I$12:$J$21,2,0)*R29),1)),IF(OR(Q29="",R29="",S29="",M29=""),"",ROUND(MIN(100,Q29*R29*S29/M29*20),1)))</f>
        <v/>
      </c>
      <c r="U29" s="30" t="str">
        <f aca="false">IF(T29="","",RANK(T29,$T$4:$T$52))</f>
        <v/>
      </c>
      <c r="V29" s="36"/>
    </row>
    <row r="30" customFormat="false" ht="14.25" hidden="false" customHeight="true" outlineLevel="0" collapsed="false">
      <c r="A30" s="22"/>
      <c r="B30" s="23"/>
      <c r="C30" s="22"/>
      <c r="D30" s="22"/>
      <c r="E30" s="22"/>
      <c r="F30" s="22"/>
      <c r="G30" s="25"/>
      <c r="H30" s="25"/>
      <c r="I30" s="25"/>
      <c r="J30" s="25"/>
      <c r="K30" s="25"/>
      <c r="L30" s="25"/>
      <c r="M30" s="25"/>
      <c r="N30" s="25"/>
      <c r="O30" s="27"/>
      <c r="P30" s="27"/>
      <c r="Q30" s="28" t="str">
        <f aca="false">IF(V30="Defect","",IF(COUNT(G30:K30)&lt;5,"",ROUND(G30*Config!$B$4+H30*Config!$B$5+I30*Config!$B$6+J30*Config!$B$7+K30*Config!$B$8,2)))</f>
        <v/>
      </c>
      <c r="R30" s="28" t="str">
        <f aca="false">IF(L30="","",VLOOKUP(L30,Config!$A$12:$B$21,2,0))</f>
        <v/>
      </c>
      <c r="S30" s="28" t="str">
        <f aca="false">IF(N30="","",VLOOKUP(N30,Config!$D$12:$E$21,2,0))</f>
        <v/>
      </c>
      <c r="T30" s="29" t="str">
        <f aca="false">IF(V30="Defect",IF(OR(X30="",G30="",R30=""),"",ROUND(MIN(100,VLOOKUP(X30,Config!$G$12:$H$16,2,0)*VLOOKUP(G30,Config!$I$12:$J$21,2,0)*R30),1)),IF(OR(Q30="",R30="",S30="",M30=""),"",ROUND(MIN(100,Q30*R30*S30/M30*20),1)))</f>
        <v/>
      </c>
      <c r="U30" s="30" t="str">
        <f aca="false">IF(T30="","",RANK(T30,$T$4:$T$52))</f>
        <v/>
      </c>
      <c r="V30" s="36"/>
    </row>
    <row r="31" customFormat="false" ht="14.25" hidden="false" customHeight="true" outlineLevel="0" collapsed="false">
      <c r="A31" s="22"/>
      <c r="B31" s="23"/>
      <c r="C31" s="22"/>
      <c r="D31" s="22"/>
      <c r="E31" s="22"/>
      <c r="F31" s="22"/>
      <c r="G31" s="25"/>
      <c r="H31" s="25"/>
      <c r="I31" s="25"/>
      <c r="J31" s="25"/>
      <c r="K31" s="25"/>
      <c r="L31" s="25"/>
      <c r="M31" s="25"/>
      <c r="N31" s="25"/>
      <c r="O31" s="27"/>
      <c r="P31" s="27"/>
      <c r="Q31" s="28" t="str">
        <f aca="false">IF(V31="Defect","",IF(COUNT(G31:K31)&lt;5,"",ROUND(G31*Config!$B$4+H31*Config!$B$5+I31*Config!$B$6+J31*Config!$B$7+K31*Config!$B$8,2)))</f>
        <v/>
      </c>
      <c r="R31" s="28" t="str">
        <f aca="false">IF(L31="","",VLOOKUP(L31,Config!$A$12:$B$21,2,0))</f>
        <v/>
      </c>
      <c r="S31" s="28" t="str">
        <f aca="false">IF(N31="","",VLOOKUP(N31,Config!$D$12:$E$21,2,0))</f>
        <v/>
      </c>
      <c r="T31" s="29" t="str">
        <f aca="false">IF(V31="Defect",IF(OR(X31="",G31="",R31=""),"",ROUND(MIN(100,VLOOKUP(X31,Config!$G$12:$H$16,2,0)*VLOOKUP(G31,Config!$I$12:$J$21,2,0)*R31),1)),IF(OR(Q31="",R31="",S31="",M31=""),"",ROUND(MIN(100,Q31*R31*S31/M31*20),1)))</f>
        <v/>
      </c>
      <c r="U31" s="30" t="str">
        <f aca="false">IF(T31="","",RANK(T31,$T$4:$T$52))</f>
        <v/>
      </c>
      <c r="V31" s="36"/>
    </row>
    <row r="32" customFormat="false" ht="14.25" hidden="false" customHeight="true" outlineLevel="0" collapsed="false">
      <c r="A32" s="22"/>
      <c r="B32" s="23"/>
      <c r="C32" s="22"/>
      <c r="D32" s="22"/>
      <c r="E32" s="22"/>
      <c r="F32" s="22"/>
      <c r="G32" s="25"/>
      <c r="H32" s="25"/>
      <c r="I32" s="25"/>
      <c r="J32" s="25"/>
      <c r="K32" s="25"/>
      <c r="L32" s="25"/>
      <c r="M32" s="25"/>
      <c r="N32" s="25"/>
      <c r="O32" s="27"/>
      <c r="P32" s="27"/>
      <c r="Q32" s="28" t="str">
        <f aca="false">IF(V32="Defect","",IF(COUNT(G32:K32)&lt;5,"",ROUND(G32*Config!$B$4+H32*Config!$B$5+I32*Config!$B$6+J32*Config!$B$7+K32*Config!$B$8,2)))</f>
        <v/>
      </c>
      <c r="R32" s="28" t="str">
        <f aca="false">IF(L32="","",VLOOKUP(L32,Config!$A$12:$B$21,2,0))</f>
        <v/>
      </c>
      <c r="S32" s="28" t="str">
        <f aca="false">IF(N32="","",VLOOKUP(N32,Config!$D$12:$E$21,2,0))</f>
        <v/>
      </c>
      <c r="T32" s="29" t="str">
        <f aca="false">IF(V32="Defect",IF(OR(X32="",G32="",R32=""),"",ROUND(MIN(100,VLOOKUP(X32,Config!$G$12:$H$16,2,0)*VLOOKUP(G32,Config!$I$12:$J$21,2,0)*R32),1)),IF(OR(Q32="",R32="",S32="",M32=""),"",ROUND(MIN(100,Q32*R32*S32/M32*20),1)))</f>
        <v/>
      </c>
      <c r="U32" s="30" t="str">
        <f aca="false">IF(T32="","",RANK(T32,$T$4:$T$52))</f>
        <v/>
      </c>
      <c r="V32" s="36"/>
    </row>
    <row r="33" customFormat="false" ht="14.25" hidden="false" customHeight="true" outlineLevel="0" collapsed="false">
      <c r="A33" s="22"/>
      <c r="B33" s="23"/>
      <c r="C33" s="22"/>
      <c r="D33" s="22"/>
      <c r="E33" s="22"/>
      <c r="F33" s="22"/>
      <c r="G33" s="25"/>
      <c r="H33" s="25"/>
      <c r="I33" s="25"/>
      <c r="J33" s="25"/>
      <c r="K33" s="25"/>
      <c r="L33" s="25"/>
      <c r="M33" s="25"/>
      <c r="N33" s="25"/>
      <c r="O33" s="27"/>
      <c r="P33" s="27"/>
      <c r="Q33" s="28" t="str">
        <f aca="false">IF(V33="Defect","",IF(COUNT(G33:K33)&lt;5,"",ROUND(G33*Config!$B$4+H33*Config!$B$5+I33*Config!$B$6+J33*Config!$B$7+K33*Config!$B$8,2)))</f>
        <v/>
      </c>
      <c r="R33" s="28" t="str">
        <f aca="false">IF(L33="","",VLOOKUP(L33,Config!$A$12:$B$21,2,0))</f>
        <v/>
      </c>
      <c r="S33" s="28" t="str">
        <f aca="false">IF(N33="","",VLOOKUP(N33,Config!$D$12:$E$21,2,0))</f>
        <v/>
      </c>
      <c r="T33" s="29" t="str">
        <f aca="false">IF(V33="Defect",IF(OR(X33="",G33="",R33=""),"",ROUND(MIN(100,VLOOKUP(X33,Config!$G$12:$H$16,2,0)*VLOOKUP(G33,Config!$I$12:$J$21,2,0)*R33),1)),IF(OR(Q33="",R33="",S33="",M33=""),"",ROUND(MIN(100,Q33*R33*S33/M33*20),1)))</f>
        <v/>
      </c>
      <c r="U33" s="30" t="str">
        <f aca="false">IF(T33="","",RANK(T33,$T$4:$T$52))</f>
        <v/>
      </c>
      <c r="V33" s="36"/>
    </row>
    <row r="34" customFormat="false" ht="14.25" hidden="false" customHeight="true" outlineLevel="0" collapsed="false">
      <c r="A34" s="22"/>
      <c r="B34" s="23"/>
      <c r="C34" s="22"/>
      <c r="D34" s="22"/>
      <c r="E34" s="22"/>
      <c r="F34" s="22"/>
      <c r="G34" s="25"/>
      <c r="H34" s="25"/>
      <c r="I34" s="25"/>
      <c r="J34" s="25"/>
      <c r="K34" s="25"/>
      <c r="L34" s="25"/>
      <c r="M34" s="25"/>
      <c r="N34" s="25"/>
      <c r="O34" s="27"/>
      <c r="P34" s="27"/>
      <c r="Q34" s="28" t="str">
        <f aca="false">IF(V34="Defect","",IF(COUNT(G34:K34)&lt;5,"",ROUND(G34*Config!$B$4+H34*Config!$B$5+I34*Config!$B$6+J34*Config!$B$7+K34*Config!$B$8,2)))</f>
        <v/>
      </c>
      <c r="R34" s="28" t="str">
        <f aca="false">IF(L34="","",VLOOKUP(L34,Config!$A$12:$B$21,2,0))</f>
        <v/>
      </c>
      <c r="S34" s="28" t="str">
        <f aca="false">IF(N34="","",VLOOKUP(N34,Config!$D$12:$E$21,2,0))</f>
        <v/>
      </c>
      <c r="T34" s="29" t="str">
        <f aca="false">IF(V34="Defect",IF(OR(X34="",G34="",R34=""),"",ROUND(MIN(100,VLOOKUP(X34,Config!$G$12:$H$16,2,0)*VLOOKUP(G34,Config!$I$12:$J$21,2,0)*R34),1)),IF(OR(Q34="",R34="",S34="",M34=""),"",ROUND(MIN(100,Q34*R34*S34/M34*20),1)))</f>
        <v/>
      </c>
      <c r="U34" s="30" t="str">
        <f aca="false">IF(T34="","",RANK(T34,$T$4:$T$52))</f>
        <v/>
      </c>
      <c r="V34" s="36"/>
    </row>
    <row r="35" customFormat="false" ht="14.25" hidden="false" customHeight="true" outlineLevel="0" collapsed="false">
      <c r="A35" s="22"/>
      <c r="B35" s="23"/>
      <c r="C35" s="22"/>
      <c r="D35" s="22"/>
      <c r="E35" s="22"/>
      <c r="F35" s="22"/>
      <c r="G35" s="25"/>
      <c r="H35" s="25"/>
      <c r="I35" s="25"/>
      <c r="J35" s="25"/>
      <c r="K35" s="25"/>
      <c r="L35" s="25"/>
      <c r="M35" s="25"/>
      <c r="N35" s="25"/>
      <c r="O35" s="27"/>
      <c r="P35" s="27"/>
      <c r="Q35" s="28" t="str">
        <f aca="false">IF(V35="Defect","",IF(COUNT(G35:K35)&lt;5,"",ROUND(G35*Config!$B$4+H35*Config!$B$5+I35*Config!$B$6+J35*Config!$B$7+K35*Config!$B$8,2)))</f>
        <v/>
      </c>
      <c r="R35" s="28" t="str">
        <f aca="false">IF(L35="","",VLOOKUP(L35,Config!$A$12:$B$21,2,0))</f>
        <v/>
      </c>
      <c r="S35" s="28" t="str">
        <f aca="false">IF(N35="","",VLOOKUP(N35,Config!$D$12:$E$21,2,0))</f>
        <v/>
      </c>
      <c r="T35" s="29" t="str">
        <f aca="false">IF(V35="Defect",IF(OR(X35="",G35="",R35=""),"",ROUND(MIN(100,VLOOKUP(X35,Config!$G$12:$H$16,2,0)*VLOOKUP(G35,Config!$I$12:$J$21,2,0)*R35),1)),IF(OR(Q35="",R35="",S35="",M35=""),"",ROUND(MIN(100,Q35*R35*S35/M35*20),1)))</f>
        <v/>
      </c>
      <c r="U35" s="30" t="str">
        <f aca="false">IF(T35="","",RANK(T35,$T$4:$T$52))</f>
        <v/>
      </c>
      <c r="V35" s="36"/>
    </row>
    <row r="36" customFormat="false" ht="14.25" hidden="false" customHeight="true" outlineLevel="0" collapsed="false">
      <c r="A36" s="22"/>
      <c r="B36" s="23"/>
      <c r="C36" s="22"/>
      <c r="D36" s="22"/>
      <c r="E36" s="22"/>
      <c r="F36" s="22"/>
      <c r="G36" s="25"/>
      <c r="H36" s="25"/>
      <c r="I36" s="25"/>
      <c r="J36" s="25"/>
      <c r="K36" s="25"/>
      <c r="L36" s="25"/>
      <c r="M36" s="25"/>
      <c r="N36" s="25"/>
      <c r="O36" s="27"/>
      <c r="P36" s="27"/>
      <c r="Q36" s="28" t="str">
        <f aca="false">IF(V36="Defect","",IF(COUNT(G36:K36)&lt;5,"",ROUND(G36*Config!$B$4+H36*Config!$B$5+I36*Config!$B$6+J36*Config!$B$7+K36*Config!$B$8,2)))</f>
        <v/>
      </c>
      <c r="R36" s="28" t="str">
        <f aca="false">IF(L36="","",VLOOKUP(L36,Config!$A$12:$B$21,2,0))</f>
        <v/>
      </c>
      <c r="S36" s="28" t="str">
        <f aca="false">IF(N36="","",VLOOKUP(N36,Config!$D$12:$E$21,2,0))</f>
        <v/>
      </c>
      <c r="T36" s="29" t="str">
        <f aca="false">IF(V36="Defect",IF(OR(X36="",G36="",R36=""),"",ROUND(MIN(100,VLOOKUP(X36,Config!$G$12:$H$16,2,0)*VLOOKUP(G36,Config!$I$12:$J$21,2,0)*R36),1)),IF(OR(Q36="",R36="",S36="",M36=""),"",ROUND(MIN(100,Q36*R36*S36/M36*20),1)))</f>
        <v/>
      </c>
      <c r="U36" s="30" t="str">
        <f aca="false">IF(T36="","",RANK(T36,$T$4:$T$52))</f>
        <v/>
      </c>
      <c r="V36" s="36"/>
    </row>
    <row r="37" customFormat="false" ht="14.25" hidden="false" customHeight="true" outlineLevel="0" collapsed="false">
      <c r="A37" s="22"/>
      <c r="B37" s="23"/>
      <c r="C37" s="22"/>
      <c r="D37" s="22"/>
      <c r="E37" s="22"/>
      <c r="F37" s="22"/>
      <c r="G37" s="25"/>
      <c r="H37" s="25"/>
      <c r="I37" s="25"/>
      <c r="J37" s="25"/>
      <c r="K37" s="25"/>
      <c r="L37" s="25"/>
      <c r="M37" s="25"/>
      <c r="N37" s="25"/>
      <c r="O37" s="27"/>
      <c r="P37" s="27"/>
      <c r="Q37" s="28" t="str">
        <f aca="false">IF(V37="Defect","",IF(COUNT(G37:K37)&lt;5,"",ROUND(G37*Config!$B$4+H37*Config!$B$5+I37*Config!$B$6+J37*Config!$B$7+K37*Config!$B$8,2)))</f>
        <v/>
      </c>
      <c r="R37" s="28" t="str">
        <f aca="false">IF(L37="","",VLOOKUP(L37,Config!$A$12:$B$21,2,0))</f>
        <v/>
      </c>
      <c r="S37" s="28" t="str">
        <f aca="false">IF(N37="","",VLOOKUP(N37,Config!$D$12:$E$21,2,0))</f>
        <v/>
      </c>
      <c r="T37" s="29" t="str">
        <f aca="false">IF(V37="Defect",IF(OR(X37="",G37="",R37=""),"",ROUND(MIN(100,VLOOKUP(X37,Config!$G$12:$H$16,2,0)*VLOOKUP(G37,Config!$I$12:$J$21,2,0)*R37),1)),IF(OR(Q37="",R37="",S37="",M37=""),"",ROUND(MIN(100,Q37*R37*S37/M37*20),1)))</f>
        <v/>
      </c>
      <c r="U37" s="30" t="str">
        <f aca="false">IF(T37="","",RANK(T37,$T$4:$T$52))</f>
        <v/>
      </c>
      <c r="V37" s="36"/>
    </row>
    <row r="38" customFormat="false" ht="14.25" hidden="false" customHeight="true" outlineLevel="0" collapsed="false">
      <c r="A38" s="22"/>
      <c r="B38" s="23"/>
      <c r="C38" s="22"/>
      <c r="D38" s="22"/>
      <c r="E38" s="22"/>
      <c r="F38" s="22"/>
      <c r="G38" s="25"/>
      <c r="H38" s="25"/>
      <c r="I38" s="25"/>
      <c r="J38" s="25"/>
      <c r="K38" s="25"/>
      <c r="L38" s="25"/>
      <c r="M38" s="25"/>
      <c r="N38" s="25"/>
      <c r="O38" s="27"/>
      <c r="P38" s="27"/>
      <c r="Q38" s="28" t="str">
        <f aca="false">IF(V38="Defect","",IF(COUNT(G38:K38)&lt;5,"",ROUND(G38*Config!$B$4+H38*Config!$B$5+I38*Config!$B$6+J38*Config!$B$7+K38*Config!$B$8,2)))</f>
        <v/>
      </c>
      <c r="R38" s="28" t="str">
        <f aca="false">IF(L38="","",VLOOKUP(L38,Config!$A$12:$B$21,2,0))</f>
        <v/>
      </c>
      <c r="S38" s="28" t="str">
        <f aca="false">IF(N38="","",VLOOKUP(N38,Config!$D$12:$E$21,2,0))</f>
        <v/>
      </c>
      <c r="T38" s="29" t="str">
        <f aca="false">IF(V38="Defect",IF(OR(X38="",G38="",R38=""),"",ROUND(MIN(100,VLOOKUP(X38,Config!$G$12:$H$16,2,0)*VLOOKUP(G38,Config!$I$12:$J$21,2,0)*R38),1)),IF(OR(Q38="",R38="",S38="",M38=""),"",ROUND(MIN(100,Q38*R38*S38/M38*20),1)))</f>
        <v/>
      </c>
      <c r="U38" s="30" t="str">
        <f aca="false">IF(T38="","",RANK(T38,$T$4:$T$52))</f>
        <v/>
      </c>
      <c r="V38" s="36"/>
    </row>
    <row r="39" customFormat="false" ht="14.25" hidden="false" customHeight="true" outlineLevel="0" collapsed="false">
      <c r="A39" s="22"/>
      <c r="B39" s="23"/>
      <c r="C39" s="22"/>
      <c r="D39" s="22"/>
      <c r="E39" s="22"/>
      <c r="F39" s="22"/>
      <c r="G39" s="25"/>
      <c r="H39" s="25"/>
      <c r="I39" s="25"/>
      <c r="J39" s="25"/>
      <c r="K39" s="25"/>
      <c r="L39" s="25"/>
      <c r="M39" s="25"/>
      <c r="N39" s="25"/>
      <c r="O39" s="27"/>
      <c r="P39" s="27"/>
      <c r="Q39" s="28" t="str">
        <f aca="false">IF(V39="Defect","",IF(COUNT(G39:K39)&lt;5,"",ROUND(G39*Config!$B$4+H39*Config!$B$5+I39*Config!$B$6+J39*Config!$B$7+K39*Config!$B$8,2)))</f>
        <v/>
      </c>
      <c r="R39" s="28" t="str">
        <f aca="false">IF(L39="","",VLOOKUP(L39,Config!$A$12:$B$21,2,0))</f>
        <v/>
      </c>
      <c r="S39" s="28" t="str">
        <f aca="false">IF(N39="","",VLOOKUP(N39,Config!$D$12:$E$21,2,0))</f>
        <v/>
      </c>
      <c r="T39" s="29" t="str">
        <f aca="false">IF(V39="Defect",IF(OR(X39="",G39="",R39=""),"",ROUND(MIN(100,VLOOKUP(X39,Config!$G$12:$H$16,2,0)*VLOOKUP(G39,Config!$I$12:$J$21,2,0)*R39),1)),IF(OR(Q39="",R39="",S39="",M39=""),"",ROUND(MIN(100,Q39*R39*S39/M39*20),1)))</f>
        <v/>
      </c>
      <c r="U39" s="30" t="str">
        <f aca="false">IF(T39="","",RANK(T39,$T$4:$T$52))</f>
        <v/>
      </c>
      <c r="V39" s="36"/>
    </row>
    <row r="40" customFormat="false" ht="14.25" hidden="false" customHeight="true" outlineLevel="0" collapsed="false">
      <c r="A40" s="22"/>
      <c r="B40" s="23"/>
      <c r="C40" s="22"/>
      <c r="D40" s="22"/>
      <c r="E40" s="22"/>
      <c r="F40" s="22"/>
      <c r="G40" s="25"/>
      <c r="H40" s="25"/>
      <c r="I40" s="25"/>
      <c r="J40" s="25"/>
      <c r="K40" s="25"/>
      <c r="L40" s="25"/>
      <c r="M40" s="25"/>
      <c r="N40" s="25"/>
      <c r="O40" s="27"/>
      <c r="P40" s="27"/>
      <c r="Q40" s="28" t="str">
        <f aca="false">IF(V40="Defect","",IF(COUNT(G40:K40)&lt;5,"",ROUND(G40*Config!$B$4+H40*Config!$B$5+I40*Config!$B$6+J40*Config!$B$7+K40*Config!$B$8,2)))</f>
        <v/>
      </c>
      <c r="R40" s="28" t="str">
        <f aca="false">IF(L40="","",VLOOKUP(L40,Config!$A$12:$B$21,2,0))</f>
        <v/>
      </c>
      <c r="S40" s="28" t="str">
        <f aca="false">IF(N40="","",VLOOKUP(N40,Config!$D$12:$E$21,2,0))</f>
        <v/>
      </c>
      <c r="T40" s="29" t="str">
        <f aca="false">IF(V40="Defect",IF(OR(X40="",G40="",R40=""),"",ROUND(MIN(100,VLOOKUP(X40,Config!$G$12:$H$16,2,0)*VLOOKUP(G40,Config!$I$12:$J$21,2,0)*R40),1)),IF(OR(Q40="",R40="",S40="",M40=""),"",ROUND(MIN(100,Q40*R40*S40/M40*20),1)))</f>
        <v/>
      </c>
      <c r="U40" s="30" t="str">
        <f aca="false">IF(T40="","",RANK(T40,$T$4:$T$52))</f>
        <v/>
      </c>
      <c r="V40" s="36"/>
    </row>
    <row r="41" customFormat="false" ht="14.25" hidden="false" customHeight="true" outlineLevel="0" collapsed="false">
      <c r="A41" s="22"/>
      <c r="B41" s="23"/>
      <c r="C41" s="22"/>
      <c r="D41" s="22"/>
      <c r="E41" s="22"/>
      <c r="F41" s="22"/>
      <c r="G41" s="25"/>
      <c r="H41" s="25"/>
      <c r="I41" s="25"/>
      <c r="J41" s="25"/>
      <c r="K41" s="25"/>
      <c r="L41" s="25"/>
      <c r="M41" s="25"/>
      <c r="N41" s="25"/>
      <c r="O41" s="27"/>
      <c r="P41" s="27"/>
      <c r="Q41" s="28" t="str">
        <f aca="false">IF(V41="Defect","",IF(COUNT(G41:K41)&lt;5,"",ROUND(G41*Config!$B$4+H41*Config!$B$5+I41*Config!$B$6+J41*Config!$B$7+K41*Config!$B$8,2)))</f>
        <v/>
      </c>
      <c r="R41" s="28" t="str">
        <f aca="false">IF(L41="","",VLOOKUP(L41,Config!$A$12:$B$21,2,0))</f>
        <v/>
      </c>
      <c r="S41" s="28" t="str">
        <f aca="false">IF(N41="","",VLOOKUP(N41,Config!$D$12:$E$21,2,0))</f>
        <v/>
      </c>
      <c r="T41" s="29" t="str">
        <f aca="false">IF(V41="Defect",IF(OR(X41="",G41="",R41=""),"",ROUND(MIN(100,VLOOKUP(X41,Config!$G$12:$H$16,2,0)*VLOOKUP(G41,Config!$I$12:$J$21,2,0)*R41),1)),IF(OR(Q41="",R41="",S41="",M41=""),"",ROUND(MIN(100,Q41*R41*S41/M41*20),1)))</f>
        <v/>
      </c>
      <c r="U41" s="30" t="str">
        <f aca="false">IF(T41="","",RANK(T41,$T$4:$T$52))</f>
        <v/>
      </c>
      <c r="V41" s="36"/>
    </row>
    <row r="42" customFormat="false" ht="14.25" hidden="false" customHeight="true" outlineLevel="0" collapsed="false">
      <c r="A42" s="22"/>
      <c r="B42" s="23"/>
      <c r="C42" s="22"/>
      <c r="D42" s="22"/>
      <c r="E42" s="22"/>
      <c r="F42" s="22"/>
      <c r="G42" s="25"/>
      <c r="H42" s="25"/>
      <c r="I42" s="25"/>
      <c r="J42" s="25"/>
      <c r="K42" s="25"/>
      <c r="L42" s="25"/>
      <c r="M42" s="25"/>
      <c r="N42" s="25"/>
      <c r="O42" s="27"/>
      <c r="P42" s="27"/>
      <c r="Q42" s="28" t="str">
        <f aca="false">IF(V42="Defect","",IF(COUNT(G42:K42)&lt;5,"",ROUND(G42*Config!$B$4+H42*Config!$B$5+I42*Config!$B$6+J42*Config!$B$7+K42*Config!$B$8,2)))</f>
        <v/>
      </c>
      <c r="R42" s="28" t="str">
        <f aca="false">IF(L42="","",VLOOKUP(L42,Config!$A$12:$B$21,2,0))</f>
        <v/>
      </c>
      <c r="S42" s="28" t="str">
        <f aca="false">IF(N42="","",VLOOKUP(N42,Config!$D$12:$E$21,2,0))</f>
        <v/>
      </c>
      <c r="T42" s="29" t="str">
        <f aca="false">IF(V42="Defect",IF(OR(X42="",G42="",R42=""),"",ROUND(MIN(100,VLOOKUP(X42,Config!$G$12:$H$16,2,0)*VLOOKUP(G42,Config!$I$12:$J$21,2,0)*R42),1)),IF(OR(Q42="",R42="",S42="",M42=""),"",ROUND(MIN(100,Q42*R42*S42/M42*20),1)))</f>
        <v/>
      </c>
      <c r="U42" s="30" t="str">
        <f aca="false">IF(T42="","",RANK(T42,$T$4:$T$52))</f>
        <v/>
      </c>
      <c r="V42" s="36"/>
    </row>
    <row r="43" customFormat="false" ht="14.25" hidden="false" customHeight="true" outlineLevel="0" collapsed="false">
      <c r="A43" s="22"/>
      <c r="B43" s="23"/>
      <c r="C43" s="22"/>
      <c r="D43" s="22"/>
      <c r="E43" s="22"/>
      <c r="F43" s="22"/>
      <c r="G43" s="25"/>
      <c r="H43" s="25"/>
      <c r="I43" s="25"/>
      <c r="J43" s="25"/>
      <c r="K43" s="25"/>
      <c r="L43" s="25"/>
      <c r="M43" s="25"/>
      <c r="N43" s="25"/>
      <c r="O43" s="27"/>
      <c r="P43" s="27"/>
      <c r="Q43" s="28" t="str">
        <f aca="false">IF(V43="Defect","",IF(COUNT(G43:K43)&lt;5,"",ROUND(G43*Config!$B$4+H43*Config!$B$5+I43*Config!$B$6+J43*Config!$B$7+K43*Config!$B$8,2)))</f>
        <v/>
      </c>
      <c r="R43" s="28" t="str">
        <f aca="false">IF(L43="","",VLOOKUP(L43,Config!$A$12:$B$21,2,0))</f>
        <v/>
      </c>
      <c r="S43" s="28" t="str">
        <f aca="false">IF(N43="","",VLOOKUP(N43,Config!$D$12:$E$21,2,0))</f>
        <v/>
      </c>
      <c r="T43" s="29" t="str">
        <f aca="false">IF(V43="Defect",IF(OR(X43="",G43="",R43=""),"",ROUND(MIN(100,VLOOKUP(X43,Config!$G$12:$H$16,2,0)*VLOOKUP(G43,Config!$I$12:$J$21,2,0)*R43),1)),IF(OR(Q43="",R43="",S43="",M43=""),"",ROUND(MIN(100,Q43*R43*S43/M43*20),1)))</f>
        <v/>
      </c>
      <c r="U43" s="30" t="str">
        <f aca="false">IF(T43="","",RANK(T43,$T$4:$T$52))</f>
        <v/>
      </c>
      <c r="V43" s="36"/>
    </row>
    <row r="44" customFormat="false" ht="14.25" hidden="false" customHeight="true" outlineLevel="0" collapsed="false">
      <c r="A44" s="22"/>
      <c r="B44" s="23"/>
      <c r="C44" s="22"/>
      <c r="D44" s="22"/>
      <c r="E44" s="22"/>
      <c r="F44" s="22"/>
      <c r="G44" s="25"/>
      <c r="H44" s="25"/>
      <c r="I44" s="25"/>
      <c r="J44" s="25"/>
      <c r="K44" s="25"/>
      <c r="L44" s="25"/>
      <c r="M44" s="25"/>
      <c r="N44" s="25"/>
      <c r="O44" s="27"/>
      <c r="P44" s="27"/>
      <c r="Q44" s="28" t="str">
        <f aca="false">IF(V44="Defect","",IF(COUNT(G44:K44)&lt;5,"",ROUND(G44*Config!$B$4+H44*Config!$B$5+I44*Config!$B$6+J44*Config!$B$7+K44*Config!$B$8,2)))</f>
        <v/>
      </c>
      <c r="R44" s="28" t="str">
        <f aca="false">IF(L44="","",VLOOKUP(L44,Config!$A$12:$B$21,2,0))</f>
        <v/>
      </c>
      <c r="S44" s="28" t="str">
        <f aca="false">IF(N44="","",VLOOKUP(N44,Config!$D$12:$E$21,2,0))</f>
        <v/>
      </c>
      <c r="T44" s="29" t="str">
        <f aca="false">IF(V44="Defect",IF(OR(X44="",G44="",R44=""),"",ROUND(MIN(100,VLOOKUP(X44,Config!$G$12:$H$16,2,0)*VLOOKUP(G44,Config!$I$12:$J$21,2,0)*R44),1)),IF(OR(Q44="",R44="",S44="",M44=""),"",ROUND(MIN(100,Q44*R44*S44/M44*20),1)))</f>
        <v/>
      </c>
      <c r="U44" s="30" t="str">
        <f aca="false">IF(T44="","",RANK(T44,$T$4:$T$52))</f>
        <v/>
      </c>
      <c r="V44" s="36"/>
    </row>
    <row r="45" customFormat="false" ht="14.25" hidden="false" customHeight="true" outlineLevel="0" collapsed="false">
      <c r="A45" s="22"/>
      <c r="B45" s="23"/>
      <c r="C45" s="22"/>
      <c r="D45" s="22"/>
      <c r="E45" s="22"/>
      <c r="F45" s="22"/>
      <c r="G45" s="25"/>
      <c r="H45" s="25"/>
      <c r="I45" s="25"/>
      <c r="J45" s="25"/>
      <c r="K45" s="25"/>
      <c r="L45" s="25"/>
      <c r="M45" s="25"/>
      <c r="N45" s="25"/>
      <c r="O45" s="27"/>
      <c r="P45" s="27"/>
      <c r="Q45" s="28" t="str">
        <f aca="false">IF(V45="Defect","",IF(COUNT(G45:K45)&lt;5,"",ROUND(G45*Config!$B$4+H45*Config!$B$5+I45*Config!$B$6+J45*Config!$B$7+K45*Config!$B$8,2)))</f>
        <v/>
      </c>
      <c r="R45" s="28" t="str">
        <f aca="false">IF(L45="","",VLOOKUP(L45,Config!$A$12:$B$21,2,0))</f>
        <v/>
      </c>
      <c r="S45" s="28" t="str">
        <f aca="false">IF(N45="","",VLOOKUP(N45,Config!$D$12:$E$21,2,0))</f>
        <v/>
      </c>
      <c r="T45" s="29" t="str">
        <f aca="false">IF(V45="Defect",IF(OR(X45="",G45="",R45=""),"",ROUND(MIN(100,VLOOKUP(X45,Config!$G$12:$H$16,2,0)*VLOOKUP(G45,Config!$I$12:$J$21,2,0)*R45),1)),IF(OR(Q45="",R45="",S45="",M45=""),"",ROUND(MIN(100,Q45*R45*S45/M45*20),1)))</f>
        <v/>
      </c>
      <c r="U45" s="30" t="str">
        <f aca="false">IF(T45="","",RANK(T45,$T$4:$T$52))</f>
        <v/>
      </c>
      <c r="V45" s="36"/>
    </row>
    <row r="46" customFormat="false" ht="14.25" hidden="false" customHeight="true" outlineLevel="0" collapsed="false">
      <c r="A46" s="22"/>
      <c r="B46" s="23"/>
      <c r="C46" s="22"/>
      <c r="D46" s="22"/>
      <c r="E46" s="22"/>
      <c r="F46" s="22"/>
      <c r="G46" s="25"/>
      <c r="H46" s="25"/>
      <c r="I46" s="25"/>
      <c r="J46" s="25"/>
      <c r="K46" s="25"/>
      <c r="L46" s="25"/>
      <c r="M46" s="25"/>
      <c r="N46" s="25"/>
      <c r="O46" s="27"/>
      <c r="P46" s="27"/>
      <c r="Q46" s="28" t="str">
        <f aca="false">IF(V46="Defect","",IF(COUNT(G46:K46)&lt;5,"",ROUND(G46*Config!$B$4+H46*Config!$B$5+I46*Config!$B$6+J46*Config!$B$7+K46*Config!$B$8,2)))</f>
        <v/>
      </c>
      <c r="R46" s="28" t="str">
        <f aca="false">IF(L46="","",VLOOKUP(L46,Config!$A$12:$B$21,2,0))</f>
        <v/>
      </c>
      <c r="S46" s="28" t="str">
        <f aca="false">IF(N46="","",VLOOKUP(N46,Config!$D$12:$E$21,2,0))</f>
        <v/>
      </c>
      <c r="T46" s="29" t="str">
        <f aca="false">IF(V46="Defect",IF(OR(X46="",G46="",R46=""),"",ROUND(MIN(100,VLOOKUP(X46,Config!$G$12:$H$16,2,0)*VLOOKUP(G46,Config!$I$12:$J$21,2,0)*R46),1)),IF(OR(Q46="",R46="",S46="",M46=""),"",ROUND(MIN(100,Q46*R46*S46/M46*20),1)))</f>
        <v/>
      </c>
      <c r="U46" s="30" t="str">
        <f aca="false">IF(T46="","",RANK(T46,$T$4:$T$52))</f>
        <v/>
      </c>
      <c r="V46" s="36"/>
    </row>
    <row r="47" customFormat="false" ht="14.25" hidden="false" customHeight="true" outlineLevel="0" collapsed="false">
      <c r="A47" s="22"/>
      <c r="B47" s="23"/>
      <c r="C47" s="22"/>
      <c r="D47" s="22"/>
      <c r="E47" s="22"/>
      <c r="F47" s="22"/>
      <c r="G47" s="25"/>
      <c r="H47" s="25"/>
      <c r="I47" s="25"/>
      <c r="J47" s="25"/>
      <c r="K47" s="25"/>
      <c r="L47" s="25"/>
      <c r="M47" s="25"/>
      <c r="N47" s="25"/>
      <c r="O47" s="27"/>
      <c r="P47" s="27"/>
      <c r="Q47" s="28" t="str">
        <f aca="false">IF(V47="Defect","",IF(COUNT(G47:K47)&lt;5,"",ROUND(G47*Config!$B$4+H47*Config!$B$5+I47*Config!$B$6+J47*Config!$B$7+K47*Config!$B$8,2)))</f>
        <v/>
      </c>
      <c r="R47" s="28" t="str">
        <f aca="false">IF(L47="","",VLOOKUP(L47,Config!$A$12:$B$21,2,0))</f>
        <v/>
      </c>
      <c r="S47" s="28" t="str">
        <f aca="false">IF(N47="","",VLOOKUP(N47,Config!$D$12:$E$21,2,0))</f>
        <v/>
      </c>
      <c r="T47" s="29" t="str">
        <f aca="false">IF(V47="Defect",IF(OR(X47="",G47="",R47=""),"",ROUND(MIN(100,VLOOKUP(X47,Config!$G$12:$H$16,2,0)*VLOOKUP(G47,Config!$I$12:$J$21,2,0)*R47),1)),IF(OR(Q47="",R47="",S47="",M47=""),"",ROUND(MIN(100,Q47*R47*S47/M47*20),1)))</f>
        <v/>
      </c>
      <c r="U47" s="30" t="str">
        <f aca="false">IF(T47="","",RANK(T47,$T$4:$T$52))</f>
        <v/>
      </c>
      <c r="V47" s="36"/>
    </row>
    <row r="48" customFormat="false" ht="14.25" hidden="false" customHeight="true" outlineLevel="0" collapsed="false">
      <c r="A48" s="22"/>
      <c r="B48" s="23"/>
      <c r="C48" s="22"/>
      <c r="D48" s="22"/>
      <c r="E48" s="22"/>
      <c r="F48" s="22"/>
      <c r="G48" s="25"/>
      <c r="H48" s="25"/>
      <c r="I48" s="25"/>
      <c r="J48" s="25"/>
      <c r="K48" s="25"/>
      <c r="L48" s="25"/>
      <c r="M48" s="25"/>
      <c r="N48" s="25"/>
      <c r="O48" s="27"/>
      <c r="P48" s="27"/>
      <c r="Q48" s="28" t="str">
        <f aca="false">IF(V48="Defect","",IF(COUNT(G48:K48)&lt;5,"",ROUND(G48*Config!$B$4+H48*Config!$B$5+I48*Config!$B$6+J48*Config!$B$7+K48*Config!$B$8,2)))</f>
        <v/>
      </c>
      <c r="R48" s="28" t="str">
        <f aca="false">IF(L48="","",VLOOKUP(L48,Config!$A$12:$B$21,2,0))</f>
        <v/>
      </c>
      <c r="S48" s="28" t="str">
        <f aca="false">IF(N48="","",VLOOKUP(N48,Config!$D$12:$E$21,2,0))</f>
        <v/>
      </c>
      <c r="T48" s="29" t="str">
        <f aca="false">IF(V48="Defect",IF(OR(X48="",G48="",R48=""),"",ROUND(MIN(100,VLOOKUP(X48,Config!$G$12:$H$16,2,0)*VLOOKUP(G48,Config!$I$12:$J$21,2,0)*R48),1)),IF(OR(Q48="",R48="",S48="",M48=""),"",ROUND(MIN(100,Q48*R48*S48/M48*20),1)))</f>
        <v/>
      </c>
      <c r="U48" s="30" t="str">
        <f aca="false">IF(T48="","",RANK(T48,$T$4:$T$52))</f>
        <v/>
      </c>
      <c r="V48" s="36"/>
    </row>
    <row r="49" customFormat="false" ht="14.25" hidden="false" customHeight="true" outlineLevel="0" collapsed="false">
      <c r="A49" s="22"/>
      <c r="B49" s="23"/>
      <c r="C49" s="22"/>
      <c r="D49" s="22"/>
      <c r="E49" s="22"/>
      <c r="F49" s="22"/>
      <c r="G49" s="25"/>
      <c r="H49" s="25"/>
      <c r="I49" s="25"/>
      <c r="J49" s="25"/>
      <c r="K49" s="25"/>
      <c r="L49" s="25"/>
      <c r="M49" s="25"/>
      <c r="N49" s="25"/>
      <c r="O49" s="27"/>
      <c r="P49" s="27"/>
      <c r="Q49" s="28" t="str">
        <f aca="false">IF(V49="Defect","",IF(COUNT(G49:K49)&lt;5,"",ROUND(G49*Config!$B$4+H49*Config!$B$5+I49*Config!$B$6+J49*Config!$B$7+K49*Config!$B$8,2)))</f>
        <v/>
      </c>
      <c r="R49" s="28" t="str">
        <f aca="false">IF(L49="","",VLOOKUP(L49,Config!$A$12:$B$21,2,0))</f>
        <v/>
      </c>
      <c r="S49" s="28" t="str">
        <f aca="false">IF(N49="","",VLOOKUP(N49,Config!$D$12:$E$21,2,0))</f>
        <v/>
      </c>
      <c r="T49" s="29" t="str">
        <f aca="false">IF(V49="Defect",IF(OR(X49="",G49="",R49=""),"",ROUND(MIN(100,VLOOKUP(X49,Config!$G$12:$H$16,2,0)*VLOOKUP(G49,Config!$I$12:$J$21,2,0)*R49),1)),IF(OR(Q49="",R49="",S49="",M49=""),"",ROUND(MIN(100,Q49*R49*S49/M49*20),1)))</f>
        <v/>
      </c>
      <c r="U49" s="30" t="str">
        <f aca="false">IF(T49="","",RANK(T49,$T$4:$T$52))</f>
        <v/>
      </c>
      <c r="V49" s="36"/>
    </row>
    <row r="50" customFormat="false" ht="14.25" hidden="false" customHeight="true" outlineLevel="0" collapsed="false">
      <c r="A50" s="22"/>
      <c r="B50" s="23"/>
      <c r="C50" s="22"/>
      <c r="D50" s="22"/>
      <c r="E50" s="22"/>
      <c r="F50" s="22"/>
      <c r="G50" s="25"/>
      <c r="H50" s="25"/>
      <c r="I50" s="25"/>
      <c r="J50" s="25"/>
      <c r="K50" s="25"/>
      <c r="L50" s="25"/>
      <c r="M50" s="25"/>
      <c r="N50" s="25"/>
      <c r="O50" s="27"/>
      <c r="P50" s="27"/>
      <c r="Q50" s="28" t="str">
        <f aca="false">IF(V50="Defect","",IF(COUNT(G50:K50)&lt;5,"",ROUND(G50*Config!$B$4+H50*Config!$B$5+I50*Config!$B$6+J50*Config!$B$7+K50*Config!$B$8,2)))</f>
        <v/>
      </c>
      <c r="R50" s="28" t="str">
        <f aca="false">IF(L50="","",VLOOKUP(L50,Config!$A$12:$B$21,2,0))</f>
        <v/>
      </c>
      <c r="S50" s="28" t="str">
        <f aca="false">IF(N50="","",VLOOKUP(N50,Config!$D$12:$E$21,2,0))</f>
        <v/>
      </c>
      <c r="T50" s="29" t="str">
        <f aca="false">IF(V50="Defect",IF(OR(X50="",G50="",R50=""),"",ROUND(MIN(100,VLOOKUP(X50,Config!$G$12:$H$16,2,0)*VLOOKUP(G50,Config!$I$12:$J$21,2,0)*R50),1)),IF(OR(Q50="",R50="",S50="",M50=""),"",ROUND(MIN(100,Q50*R50*S50/M50*20),1)))</f>
        <v/>
      </c>
      <c r="U50" s="30" t="str">
        <f aca="false">IF(T50="","",RANK(T50,$T$4:$T$52))</f>
        <v/>
      </c>
      <c r="V50" s="36"/>
    </row>
    <row r="51" customFormat="false" ht="14.25" hidden="false" customHeight="true" outlineLevel="0" collapsed="false">
      <c r="A51" s="22"/>
      <c r="B51" s="23"/>
      <c r="C51" s="22"/>
      <c r="D51" s="22"/>
      <c r="E51" s="22"/>
      <c r="F51" s="22"/>
      <c r="G51" s="25"/>
      <c r="H51" s="25"/>
      <c r="I51" s="25"/>
      <c r="J51" s="25"/>
      <c r="K51" s="25"/>
      <c r="L51" s="25"/>
      <c r="M51" s="25"/>
      <c r="N51" s="25"/>
      <c r="O51" s="27"/>
      <c r="P51" s="27"/>
      <c r="Q51" s="28" t="str">
        <f aca="false">IF(V51="Defect","",IF(COUNT(G51:K51)&lt;5,"",ROUND(G51*Config!$B$4+H51*Config!$B$5+I51*Config!$B$6+J51*Config!$B$7+K51*Config!$B$8,2)))</f>
        <v/>
      </c>
      <c r="R51" s="28" t="str">
        <f aca="false">IF(L51="","",VLOOKUP(L51,Config!$A$12:$B$21,2,0))</f>
        <v/>
      </c>
      <c r="S51" s="28" t="str">
        <f aca="false">IF(N51="","",VLOOKUP(N51,Config!$D$12:$E$21,2,0))</f>
        <v/>
      </c>
      <c r="T51" s="29" t="str">
        <f aca="false">IF(V51="Defect",IF(OR(X51="",G51="",R51=""),"",ROUND(MIN(100,VLOOKUP(X51,Config!$G$12:$H$16,2,0)*VLOOKUP(G51,Config!$I$12:$J$21,2,0)*R51),1)),IF(OR(Q51="",R51="",S51="",M51=""),"",ROUND(MIN(100,Q51*R51*S51/M51*20),1)))</f>
        <v/>
      </c>
      <c r="U51" s="30" t="str">
        <f aca="false">IF(T51="","",RANK(T51,$T$4:$T$52))</f>
        <v/>
      </c>
      <c r="V51" s="36"/>
    </row>
    <row r="52" customFormat="false" ht="14.25" hidden="false" customHeight="true" outlineLevel="0" collapsed="false">
      <c r="A52" s="22"/>
      <c r="B52" s="23"/>
      <c r="C52" s="22"/>
      <c r="D52" s="22"/>
      <c r="E52" s="22"/>
      <c r="F52" s="22"/>
      <c r="G52" s="25"/>
      <c r="H52" s="25"/>
      <c r="I52" s="25"/>
      <c r="J52" s="25"/>
      <c r="K52" s="25"/>
      <c r="L52" s="25"/>
      <c r="M52" s="25"/>
      <c r="N52" s="25"/>
      <c r="O52" s="27"/>
      <c r="P52" s="27"/>
      <c r="Q52" s="28" t="str">
        <f aca="false">IF(V52="Defect","",IF(COUNT(G52:K52)&lt;5,"",ROUND(G52*Config!$B$4+H52*Config!$B$5+I52*Config!$B$6+J52*Config!$B$7+K52*Config!$B$8,2)))</f>
        <v/>
      </c>
      <c r="R52" s="28" t="str">
        <f aca="false">IF(L52="","",VLOOKUP(L52,Config!$A$12:$B$21,2,0))</f>
        <v/>
      </c>
      <c r="S52" s="28" t="str">
        <f aca="false">IF(N52="","",VLOOKUP(N52,Config!$D$12:$E$21,2,0))</f>
        <v/>
      </c>
      <c r="T52" s="29" t="str">
        <f aca="false">IF(V52="Defect",IF(OR(X52="",G52="",R52=""),"",ROUND(MIN(100,VLOOKUP(X52,Config!$G$12:$H$16,2,0)*VLOOKUP(G52,Config!$I$12:$J$21,2,0)*R52),1)),IF(OR(Q52="",R52="",S52="",M52=""),"",ROUND(MIN(100,Q52*R52*S52/M52*20),1)))</f>
        <v/>
      </c>
      <c r="U52" s="30" t="str">
        <f aca="false">IF(T52="","",RANK(T52,$T$4:$T$52))</f>
        <v/>
      </c>
      <c r="V52" s="36"/>
    </row>
  </sheetData>
  <dataValidations count="6">
    <dataValidation allowBlank="true" error="Scores must be whole numbers 1-5. See Rubric sheet for anchors." errorStyle="stop" operator="between" showDropDown="false" showErrorMessage="true" showInputMessage="false" sqref="G4:N52" type="whole">
      <formula1>1</formula1>
      <formula2>10</formula2>
    </dataValidation>
    <dataValidation allowBlank="true" errorStyle="stop" operator="between" showDropDown="false" showErrorMessage="false" showInputMessage="false" sqref="E4:E52" type="list">
      <formula1>"Human,Market Research Agent,Hybrid"</formula1>
      <formula2>0</formula2>
    </dataValidation>
    <dataValidation allowBlank="true" errorStyle="stop" operator="between" showDropDown="false" showErrorMessage="false" showInputMessage="false" sqref="D4:D52" type="list">
      <formula1>"Idea,Brief Drafted,Reported,Triaged,Scored,Prioritized,In Progress,Fixed,Verified,Deferred,Rejected,Won't Fix"</formula1>
      <formula2>0</formula2>
    </dataValidation>
    <dataValidation allowBlank="true" errorStyle="stop" operator="between" showDropDown="false" showErrorMessage="false" showInputMessage="false" sqref="V4:V52" type="list">
      <formula1>"Feature,Defect"</formula1>
      <formula2>0</formula2>
    </dataValidation>
    <dataValidation allowBlank="true" errorStyle="stop" operator="between" showDropDown="false" showErrorMessage="false" showInputMessage="false" sqref="W4:W52" type="list">
      <formula1>"Customer-Reported,Internal"</formula1>
      <formula2>0</formula2>
    </dataValidation>
    <dataValidation allowBlank="true" errorStyle="stop" operator="between" prompt="Whole number 1-5; see Rubric Severity row (Defect rows only)." showDropDown="false" showErrorMessage="false" showInputMessage="false" sqref="X4:X52" type="whole">
      <formula1>1</formula1>
      <formula2>5</formula2>
    </dataValidation>
  </dataValidations>
  <hyperlinks>
    <hyperlink ref="O4" r:id="rId1"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hyperlink ref="C10" r:id="rId2" display="https://github.com/dispatch-derek/admin-console/issues/7"/>
    <hyperlink ref="C12" r:id="rId3" display="https://github.com/dispatch-derek/admin-console/issues/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0" activeCellId="0" sqref="F10"/>
    </sheetView>
  </sheetViews>
  <sheetFormatPr defaultColWidth="8.63671875" defaultRowHeight="14.25" customHeight="false" zeroHeight="false" outlineLevelRow="0" outlineLevelCol="0"/>
  <cols>
    <col collapsed="false" customWidth="true" hidden="false" outlineLevel="0" max="1" min="1" style="1" width="24"/>
    <col collapsed="false" customWidth="true" hidden="false" outlineLevel="0" max="2" min="2" style="1" width="22"/>
    <col collapsed="false" customWidth="true" hidden="false" outlineLevel="0" max="3" min="3" style="1" width="12"/>
    <col collapsed="false" customWidth="true" hidden="false" outlineLevel="0" max="4" min="4" style="1" width="46"/>
    <col collapsed="false" customWidth="true" hidden="false" outlineLevel="0" max="5" min="5" style="1" width="26"/>
    <col collapsed="false" customWidth="true" hidden="false" outlineLevel="0" max="6" min="6" style="1" width="60"/>
  </cols>
  <sheetData>
    <row r="1" customFormat="false" ht="15" hidden="false" customHeight="true" outlineLevel="0" collapsed="false">
      <c r="A1" s="5" t="s">
        <v>274</v>
      </c>
    </row>
    <row r="3" customFormat="false" ht="14.25" hidden="false" customHeight="true" outlineLevel="0" collapsed="false">
      <c r="A3" s="37" t="s">
        <v>275</v>
      </c>
      <c r="B3" s="37" t="s">
        <v>276</v>
      </c>
      <c r="C3" s="37" t="s">
        <v>277</v>
      </c>
      <c r="D3" s="37" t="s">
        <v>278</v>
      </c>
      <c r="E3" s="37" t="s">
        <v>279</v>
      </c>
      <c r="F3" s="37" t="s">
        <v>280</v>
      </c>
    </row>
    <row r="4" customFormat="false" ht="14.25" hidden="false" customHeight="true" outlineLevel="0" collapsed="false">
      <c r="A4" s="18" t="s">
        <v>281</v>
      </c>
      <c r="B4" s="18" t="s">
        <v>282</v>
      </c>
      <c r="C4" s="18" t="s">
        <v>283</v>
      </c>
      <c r="D4" s="18" t="s">
        <v>284</v>
      </c>
      <c r="E4" s="18" t="s">
        <v>285</v>
      </c>
      <c r="F4" s="18" t="s">
        <v>286</v>
      </c>
    </row>
    <row r="5" customFormat="false" ht="14.25" hidden="false" customHeight="true" outlineLevel="0" collapsed="false">
      <c r="A5" s="18" t="s">
        <v>287</v>
      </c>
      <c r="B5" s="18" t="s">
        <v>288</v>
      </c>
      <c r="C5" s="18" t="s">
        <v>283</v>
      </c>
      <c r="D5" s="18" t="s">
        <v>289</v>
      </c>
      <c r="E5" s="18" t="s">
        <v>285</v>
      </c>
      <c r="F5" s="18" t="s">
        <v>290</v>
      </c>
    </row>
    <row r="6" customFormat="false" ht="26.25" hidden="false" customHeight="true" outlineLevel="0" collapsed="false">
      <c r="A6" s="18" t="s">
        <v>291</v>
      </c>
      <c r="B6" s="18" t="s">
        <v>292</v>
      </c>
      <c r="C6" s="18" t="s">
        <v>283</v>
      </c>
      <c r="D6" s="18" t="s">
        <v>293</v>
      </c>
      <c r="E6" s="18" t="s">
        <v>285</v>
      </c>
      <c r="F6" s="18" t="s">
        <v>294</v>
      </c>
    </row>
    <row r="7" customFormat="false" ht="27.75" hidden="false" customHeight="true" outlineLevel="0" collapsed="false">
      <c r="A7" s="18" t="s">
        <v>295</v>
      </c>
      <c r="B7" s="18" t="s">
        <v>296</v>
      </c>
      <c r="C7" s="18" t="s">
        <v>297</v>
      </c>
      <c r="D7" s="18" t="s">
        <v>298</v>
      </c>
      <c r="E7" s="18" t="s">
        <v>299</v>
      </c>
      <c r="F7" s="18" t="s">
        <v>300</v>
      </c>
    </row>
    <row r="8" customFormat="false" ht="14.25" hidden="false" customHeight="true" outlineLevel="0" collapsed="false">
      <c r="A8" s="18" t="s">
        <v>301</v>
      </c>
      <c r="B8" s="18" t="s">
        <v>302</v>
      </c>
      <c r="C8" s="18" t="s">
        <v>297</v>
      </c>
      <c r="D8" s="18" t="s">
        <v>303</v>
      </c>
      <c r="E8" s="18" t="s">
        <v>304</v>
      </c>
      <c r="F8" s="18" t="s">
        <v>305</v>
      </c>
    </row>
    <row r="9" customFormat="false" ht="14.25" hidden="false" customHeight="true" outlineLevel="0" collapsed="false">
      <c r="A9" s="18" t="s">
        <v>306</v>
      </c>
      <c r="B9" s="18" t="s">
        <v>307</v>
      </c>
      <c r="C9" s="18" t="s">
        <v>308</v>
      </c>
      <c r="D9" s="18" t="s">
        <v>309</v>
      </c>
      <c r="E9" s="18" t="s">
        <v>304</v>
      </c>
      <c r="F9" s="18" t="s">
        <v>310</v>
      </c>
    </row>
    <row r="10" customFormat="false" ht="26.25" hidden="false" customHeight="true" outlineLevel="0" collapsed="false">
      <c r="A10" s="18" t="s">
        <v>311</v>
      </c>
      <c r="B10" s="18" t="s">
        <v>312</v>
      </c>
      <c r="C10" s="18" t="s">
        <v>313</v>
      </c>
      <c r="D10" s="18" t="s">
        <v>314</v>
      </c>
      <c r="E10" s="18" t="s">
        <v>315</v>
      </c>
      <c r="F10" s="18" t="s">
        <v>316</v>
      </c>
    </row>
    <row r="11" customFormat="false" ht="14.25" hidden="false" customHeight="true" outlineLevel="0" collapsed="false">
      <c r="A11" s="18" t="s">
        <v>317</v>
      </c>
      <c r="B11" s="18" t="s">
        <v>318</v>
      </c>
      <c r="C11" s="18" t="s">
        <v>313</v>
      </c>
      <c r="D11" s="18" t="s">
        <v>314</v>
      </c>
      <c r="E11" s="18" t="s">
        <v>315</v>
      </c>
      <c r="F11" s="18" t="s">
        <v>319</v>
      </c>
    </row>
    <row r="12" customFormat="false" ht="14.25" hidden="false" customHeight="true" outlineLevel="0" collapsed="false">
      <c r="A12" s="18" t="s">
        <v>320</v>
      </c>
      <c r="B12" s="18" t="s">
        <v>321</v>
      </c>
      <c r="C12" s="18" t="s">
        <v>313</v>
      </c>
      <c r="D12" s="18" t="s">
        <v>314</v>
      </c>
      <c r="E12" s="18" t="s">
        <v>315</v>
      </c>
      <c r="F12" s="18" t="s">
        <v>322</v>
      </c>
    </row>
    <row r="13" customFormat="false" ht="26.25" hidden="false" customHeight="true" outlineLevel="0" collapsed="false">
      <c r="A13" s="18" t="s">
        <v>323</v>
      </c>
      <c r="B13" s="18" t="s">
        <v>324</v>
      </c>
      <c r="C13" s="18" t="s">
        <v>313</v>
      </c>
      <c r="D13" s="18" t="s">
        <v>314</v>
      </c>
      <c r="E13" s="18" t="s">
        <v>285</v>
      </c>
      <c r="F13" s="18" t="s">
        <v>325</v>
      </c>
    </row>
    <row r="14" customFormat="false" ht="14.25" hidden="false" customHeight="true" outlineLevel="0" collapsed="false">
      <c r="A14" s="18" t="s">
        <v>326</v>
      </c>
      <c r="B14" s="18" t="s">
        <v>327</v>
      </c>
      <c r="C14" s="18" t="s">
        <v>313</v>
      </c>
      <c r="D14" s="18" t="s">
        <v>314</v>
      </c>
      <c r="E14" s="18" t="s">
        <v>315</v>
      </c>
      <c r="F14" s="18" t="s">
        <v>328</v>
      </c>
    </row>
    <row r="15" customFormat="false" ht="39" hidden="false" customHeight="true" outlineLevel="0" collapsed="false">
      <c r="A15" s="18" t="s">
        <v>329</v>
      </c>
      <c r="B15" s="18" t="s">
        <v>330</v>
      </c>
      <c r="C15" s="18" t="s">
        <v>313</v>
      </c>
      <c r="D15" s="18" t="s">
        <v>314</v>
      </c>
      <c r="E15" s="18" t="s">
        <v>304</v>
      </c>
      <c r="F15" s="18" t="s">
        <v>331</v>
      </c>
    </row>
    <row r="16" customFormat="false" ht="26.25" hidden="false" customHeight="true" outlineLevel="0" collapsed="false">
      <c r="A16" s="18" t="s">
        <v>332</v>
      </c>
      <c r="B16" s="18" t="s">
        <v>333</v>
      </c>
      <c r="C16" s="18" t="s">
        <v>313</v>
      </c>
      <c r="D16" s="18" t="s">
        <v>314</v>
      </c>
      <c r="E16" s="18" t="s">
        <v>334</v>
      </c>
      <c r="F16" s="18" t="s">
        <v>335</v>
      </c>
    </row>
    <row r="17" customFormat="false" ht="26.25" hidden="false" customHeight="true" outlineLevel="0" collapsed="false">
      <c r="A17" s="18" t="s">
        <v>336</v>
      </c>
      <c r="B17" s="18" t="s">
        <v>337</v>
      </c>
      <c r="C17" s="18" t="s">
        <v>313</v>
      </c>
      <c r="D17" s="18" t="s">
        <v>314</v>
      </c>
      <c r="E17" s="18" t="s">
        <v>285</v>
      </c>
      <c r="F17" s="18" t="s">
        <v>338</v>
      </c>
    </row>
    <row r="18" customFormat="false" ht="27.75" hidden="false" customHeight="true" outlineLevel="0" collapsed="false">
      <c r="A18" s="18" t="s">
        <v>339</v>
      </c>
      <c r="B18" s="18" t="s">
        <v>340</v>
      </c>
      <c r="C18" s="18" t="s">
        <v>283</v>
      </c>
      <c r="D18" s="18" t="s">
        <v>341</v>
      </c>
      <c r="E18" s="18" t="s">
        <v>304</v>
      </c>
      <c r="F18" s="18" t="s">
        <v>342</v>
      </c>
    </row>
    <row r="19" customFormat="false" ht="14.25" hidden="false" customHeight="true" outlineLevel="0" collapsed="false">
      <c r="A19" s="18" t="s">
        <v>343</v>
      </c>
      <c r="B19" s="18" t="s">
        <v>344</v>
      </c>
      <c r="C19" s="18" t="s">
        <v>283</v>
      </c>
      <c r="D19" s="18" t="s">
        <v>289</v>
      </c>
      <c r="E19" s="18" t="s">
        <v>304</v>
      </c>
      <c r="F19" s="18" t="s">
        <v>345</v>
      </c>
    </row>
    <row r="20" customFormat="false" ht="26.25" hidden="false" customHeight="true" outlineLevel="0" collapsed="false">
      <c r="A20" s="18" t="s">
        <v>346</v>
      </c>
      <c r="B20" s="18" t="s">
        <v>347</v>
      </c>
      <c r="C20" s="18" t="s">
        <v>348</v>
      </c>
      <c r="D20" s="18" t="s">
        <v>349</v>
      </c>
      <c r="E20" s="18" t="s">
        <v>350</v>
      </c>
      <c r="F20" s="18" t="s">
        <v>351</v>
      </c>
    </row>
    <row r="21" customFormat="false" ht="14.25" hidden="false" customHeight="true" outlineLevel="0" collapsed="false">
      <c r="A21" s="18" t="s">
        <v>352</v>
      </c>
      <c r="B21" s="18" t="s">
        <v>353</v>
      </c>
      <c r="C21" s="18" t="s">
        <v>348</v>
      </c>
      <c r="D21" s="18" t="s">
        <v>354</v>
      </c>
      <c r="E21" s="18" t="s">
        <v>350</v>
      </c>
      <c r="F21" s="18" t="s">
        <v>355</v>
      </c>
    </row>
    <row r="22" customFormat="false" ht="14.25" hidden="false" customHeight="true" outlineLevel="0" collapsed="false">
      <c r="A22" s="18" t="s">
        <v>356</v>
      </c>
      <c r="B22" s="18" t="s">
        <v>357</v>
      </c>
      <c r="C22" s="18" t="s">
        <v>348</v>
      </c>
      <c r="D22" s="18" t="s">
        <v>358</v>
      </c>
      <c r="E22" s="18" t="s">
        <v>350</v>
      </c>
      <c r="F22" s="18" t="s">
        <v>359</v>
      </c>
    </row>
    <row r="23" customFormat="false" ht="51.75" hidden="false" customHeight="true" outlineLevel="0" collapsed="false">
      <c r="A23" s="18" t="s">
        <v>360</v>
      </c>
      <c r="B23" s="18" t="s">
        <v>361</v>
      </c>
      <c r="C23" s="18" t="s">
        <v>348</v>
      </c>
      <c r="D23" s="18" t="s">
        <v>362</v>
      </c>
      <c r="E23" s="18" t="s">
        <v>350</v>
      </c>
      <c r="F23" s="18" t="s">
        <v>363</v>
      </c>
    </row>
    <row r="24" customFormat="false" ht="14.25" hidden="false" customHeight="true" outlineLevel="0" collapsed="false">
      <c r="A24" s="18" t="s">
        <v>364</v>
      </c>
      <c r="B24" s="18" t="s">
        <v>365</v>
      </c>
      <c r="C24" s="18" t="s">
        <v>348</v>
      </c>
      <c r="D24" s="18" t="s">
        <v>366</v>
      </c>
      <c r="E24" s="18" t="s">
        <v>350</v>
      </c>
      <c r="F24" s="18" t="s">
        <v>367</v>
      </c>
    </row>
    <row r="25" customFormat="false" ht="39" hidden="false" customHeight="true" outlineLevel="0" collapsed="false">
      <c r="A25" s="18" t="s">
        <v>368</v>
      </c>
      <c r="B25" s="18" t="s">
        <v>369</v>
      </c>
      <c r="C25" s="18" t="s">
        <v>297</v>
      </c>
      <c r="D25" s="18" t="s">
        <v>370</v>
      </c>
      <c r="E25" s="18" t="s">
        <v>285</v>
      </c>
      <c r="F25" s="18" t="s">
        <v>371</v>
      </c>
    </row>
    <row r="26" customFormat="false" ht="26.25" hidden="false" customHeight="true" outlineLevel="0" collapsed="false">
      <c r="A26" s="18" t="s">
        <v>372</v>
      </c>
      <c r="B26" s="18" t="s">
        <v>373</v>
      </c>
      <c r="C26" s="18" t="s">
        <v>297</v>
      </c>
      <c r="D26" s="18" t="s">
        <v>374</v>
      </c>
      <c r="E26" s="18" t="s">
        <v>375</v>
      </c>
      <c r="F26" s="18" t="s">
        <v>376</v>
      </c>
    </row>
    <row r="27" customFormat="false" ht="51.75" hidden="false" customHeight="true" outlineLevel="0" collapsed="false">
      <c r="A27" s="18" t="s">
        <v>377</v>
      </c>
      <c r="B27" s="18" t="s">
        <v>378</v>
      </c>
      <c r="C27" s="18" t="s">
        <v>313</v>
      </c>
      <c r="D27" s="18" t="s">
        <v>379</v>
      </c>
      <c r="E27" s="18" t="s">
        <v>380</v>
      </c>
      <c r="F27" s="18" t="s">
        <v>381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2026-07-05T22:54:23Z</dcterms:created>
  <dc:creator>openpyxl</dc:creator>
  <dc:description/>
  <dc:language>en-US</dc:language>
  <cp:lastModifiedBy>Derek MacKie</cp:lastModifiedBy>
  <dcterms:modified xsi:type="dcterms:W3CDTF">2026-07-21T01:12:14Z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