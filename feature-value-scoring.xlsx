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<sst xmlns="http://schemas.openxmlformats.org/spreadsheetml/2006/main" count="381" uniqueCount="313">
  <si>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</si>
  <si>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</si>
  <si>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</si>
  <si>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</si>
  <si>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</si>
  <si>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</si>
  <si>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</si>
  <si>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</si>
  <si>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</si>
  <si>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</si>
  <si>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</si>
  <si>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</si>
  <si>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</si>
  <si>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</si>
  <si>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</si>
  <si>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</si>
  <si>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</si>
  <si>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</si>
  <si>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</si>
  <si>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</si>
  <si>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</si>
  <si>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</si>
  <si>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</si>
  <si>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</si>
  <si>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</si>
  <si>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</si>
  <si>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</si>
  <si>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</si>
  <si>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</si>
  <si>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</si>
  <si>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</si>
  <si>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</si>
  <si>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</si>
  <si>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</si>
  <si>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</si>
  <si>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</si>
  <si>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</si>
  <si>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</si>
  <si>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</si>
  <si>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</si>
  <si>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</si>
  <si>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</si>
  <si>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</si>
  <si>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</si>
  <si>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</si>
  <si>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</si>
  <si>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</si>
  <si>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</si>
  <si>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</si>
  <si>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</si>
  <si>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</si>
  <si>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</si>
  <si>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</si>
  <si>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</si>
  <si>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</si>
  <si>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</si>
  <si>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</si>
  <si>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</si>
  <si>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</si>
  <si>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</si>
  <si>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</si>
  <si>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</si>
  <si>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</si>
  <si>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</si>
  <si>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</si>
  <si>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</si>
  <si>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</si>
  <si>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</si>
  <si>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</si>
  <si>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</si>
  <si>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</si>
  <si>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</si>
  <si>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</si>
  <si>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</si>
  <si>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</si>
  <si>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</si>
  <si>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</si>
  <si>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</si>
  <si>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</si>
  <si>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</si>
  <si>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</si>
  <si>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</si>
  <si>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</si>
  <si>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</si>
  <si>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</si>
  <si>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</si>
  <si>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</si>
  <si>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</si>
  <si>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</si>
  <si>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</si>
  <si>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</si>
  <si>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</si>
  <si>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</si>
  <si>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</si>
  <si>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</si>
  <si>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</si>
  <si>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</si>
  <si>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</si>
  <si>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</si>
  <si>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</si>
  <si>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</si>
  <si>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</si>
  <si>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</si>
  <si>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</si>
  <si>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</si>
  <si>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</si>
  <si>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</si>
  <si>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</si>
  <si>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</si>
  <si>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</si>
  <si>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</si>
  <si>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</si>
  <si>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</si>
  <si>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</si>
  <si>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</si>
  <si>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</si>
  <si>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</si>
  <si>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</si>
  <si>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</si>
  <si>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</si>
  <si>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</si>
  <si>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</si>
  <si>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</si>
  <si>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</si>
  <si>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</si>
  <si>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</si>
  <si>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</si>
  <si>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</si>
  <si>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</si>
  <si>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</si>
  <si>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</si>
  <si>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</si>
  <si>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</si>
  <si>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</si>
  <si>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</si>
  <si>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</si>
  <si>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</si>
  <si>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</si>
  <si>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</si>
  <si>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</si>
  <si>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</si>
  <si>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</si>
  <si>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</si>
  <si>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</si>
  <si>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</si>
  <si>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</si>
  <si>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</si>
  <si>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</si>
  <si>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</si>
  <si>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</si>
  <si>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(1-5)</t>
  </si>
  <si>
    <t xml:space="preserve">User Value (1-5)</t>
  </si>
  <si>
    <t xml:space="preserve">Business Value (1-5)</t>
  </si>
  <si>
    <t xml:space="preserve">Strategic Alignment (1-5)</t>
  </si>
  <si>
    <t xml:space="preserve">Time Sensitivity (1-5)</t>
  </si>
  <si>
    <t xml:space="preserve">Confidence (1-5)</t>
  </si>
  <si>
    <t xml:space="preserve">Effort (1-5)</t>
  </si>
  <si>
    <t xml:space="preserve">Risk (1-5)</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</si>
  <si>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</si>
  <si>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</si>
  <si>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</si>
  <si>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</si>
  <si>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</si>
  <si>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</si>
  <si>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</si>
  <si>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</si>
  <si>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</si>
  <si>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</si>
  <si>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</si>
  <si>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</si>
  <si>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</si>
  <si>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</si>
  <si>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</si>
  <si>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</si>
  <si>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</si>
  <si>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</si>
  <si>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</si>
  <si>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</si>
  <si>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</si>
  <si>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</si>
  <si>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</si>
  <si>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</si>
  <si>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</si>
  <si>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</si>
  <si>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</si>
  <si>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</si>
  <si>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t>
  </si>
  <si>
    <t xml:space="preserve">F-004</t>
  </si>
  <si>
    <t xml:space="preserve">Implement a proper production ready eventbus to replace the inproc bus currently in use</t>
  </si>
  <si>
    <t xml:space="preserve">briefs/F-004-production-event-bus.md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</si>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</sst>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6" activePane="bottomRight" state="frozen"/>
      <selection pane="topLeft" activeCell="A1" activeCellId="0" sqref="A1"/>
      <selection pane="topRight" activeCell="C1" activeCellId="0" sqref="C1"/>
      <selection pane="bottomLeft" activeCell="A6" activeCellId="0" sqref="A6"/>
      <selection pane="bottomRight" activeCell="J8" activeCellId="0" sqref="J8"/>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1</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5</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4</v>
      </c>
      <c r="V6" s="22" t="s">
        <v>175</v>
      </c>
    </row>
    <row r="7" customFormat="false" ht="349.5" hidden="false" customHeight="true" outlineLevel="0" collapsed="false">
      <c r="A7" s="22" t="s">
        <v>187</v>
      </c>
      <c r="B7" s="23" t="s">
        <v>188</v>
      </c>
      <c r="C7" s="22" t="s">
        <v>189</v>
      </c>
      <c r="D7" s="22" t="s">
        <v>171</v>
      </c>
      <c r="E7" s="22" t="s">
        <v>172</v>
      </c>
      <c r="F7" s="22" t="s">
        <v>179</v>
      </c>
      <c r="G7" s="25" t="n">
        <v>8</v>
      </c>
      <c r="H7" s="25" t="n">
        <v>8</v>
      </c>
      <c r="I7" s="25" t="n">
        <v>6</v>
      </c>
      <c r="J7" s="25" t="n">
        <v>10</v>
      </c>
      <c r="K7" s="25" t="n">
        <v>6</v>
      </c>
      <c r="L7" s="25" t="n">
        <v>4</v>
      </c>
      <c r="M7" s="25" t="n">
        <v>8</v>
      </c>
      <c r="N7" s="25" t="n">
        <v>6</v>
      </c>
      <c r="O7" s="27" t="s">
        <v>190</v>
      </c>
      <c r="P7" s="27" t="s">
        <v>191</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6</v>
      </c>
      <c r="V7" s="22" t="s">
        <v>175</v>
      </c>
    </row>
    <row r="8" customFormat="false" ht="98.25" hidden="false" customHeight="true" outlineLevel="0" collapsed="false">
      <c r="A8" s="22" t="s">
        <v>192</v>
      </c>
      <c r="B8" s="31" t="s">
        <v>193</v>
      </c>
      <c r="C8" s="22" t="s">
        <v>194</v>
      </c>
      <c r="D8" s="22" t="s">
        <v>171</v>
      </c>
      <c r="E8" s="22" t="s">
        <v>195</v>
      </c>
      <c r="F8" s="32" t="n">
        <v>46214</v>
      </c>
      <c r="G8" s="25" t="n">
        <v>8</v>
      </c>
      <c r="H8" s="25" t="n">
        <v>3</v>
      </c>
      <c r="I8" s="25" t="n">
        <v>2</v>
      </c>
      <c r="J8" s="25" t="n">
        <v>4</v>
      </c>
      <c r="K8" s="25" t="n">
        <v>6</v>
      </c>
      <c r="L8" s="25" t="n">
        <v>8</v>
      </c>
      <c r="M8" s="25" t="n">
        <v>2</v>
      </c>
      <c r="N8" s="25" t="n">
        <v>2</v>
      </c>
      <c r="O8" s="27" t="s">
        <v>196</v>
      </c>
      <c r="P8" s="27" t="s">
        <v>197</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2</v>
      </c>
      <c r="V8" s="33" t="s">
        <v>198</v>
      </c>
      <c r="W8" s="1" t="s">
        <v>199</v>
      </c>
      <c r="X8" s="1" t="n">
        <v>2</v>
      </c>
    </row>
    <row r="9" customFormat="false" ht="98.25" hidden="false" customHeight="true" outlineLevel="0" collapsed="false">
      <c r="A9" s="34" t="s">
        <v>200</v>
      </c>
      <c r="B9" s="31" t="s">
        <v>201</v>
      </c>
      <c r="C9" s="22" t="s">
        <v>202</v>
      </c>
      <c r="D9" s="22" t="s">
        <v>171</v>
      </c>
      <c r="E9" s="22" t="s">
        <v>172</v>
      </c>
      <c r="F9" s="32" t="n">
        <v>46214</v>
      </c>
      <c r="G9" s="25" t="n">
        <v>8</v>
      </c>
      <c r="H9" s="25" t="n">
        <v>8</v>
      </c>
      <c r="I9" s="25" t="n">
        <v>10</v>
      </c>
      <c r="J9" s="25" t="n">
        <v>5</v>
      </c>
      <c r="K9" s="25" t="n">
        <v>10</v>
      </c>
      <c r="L9" s="25" t="n">
        <v>4</v>
      </c>
      <c r="M9" s="25" t="n">
        <v>5</v>
      </c>
      <c r="N9" s="25" t="n">
        <v>1</v>
      </c>
      <c r="O9" s="27" t="s">
        <v>203</v>
      </c>
      <c r="P9" s="27" t="s">
        <v>204</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3</v>
      </c>
      <c r="V9" s="35" t="s">
        <v>175</v>
      </c>
    </row>
    <row r="10" customFormat="false" ht="14.25" hidden="false" customHeight="true" outlineLevel="0" collapsed="false">
      <c r="A10" s="22"/>
      <c r="B10" s="23"/>
      <c r="C10" s="22"/>
      <c r="D10" s="22"/>
      <c r="E10" s="22"/>
      <c r="F10" s="22"/>
      <c r="G10" s="25"/>
      <c r="H10" s="25"/>
      <c r="I10" s="25"/>
      <c r="J10" s="25"/>
      <c r="K10" s="25"/>
      <c r="L10" s="25"/>
      <c r="M10" s="25"/>
      <c r="N10" s="25"/>
      <c r="O10" s="27"/>
      <c r="P10" s="27"/>
      <c r="Q10" s="28" t="str">
        <f aca="false">IF(V10="Defect","",IF(COUNT(G10:K10)&lt;5,"",ROUND(G10*Config!$B$4+H10*Config!$B$5+I10*Config!$B$6+J10*Config!$B$7+K10*Config!$B$8,2)))</f>
        <v/>
      </c>
      <c r="R10" s="28" t="str">
        <f aca="false">IF(L10="","",VLOOKUP(L10,Config!$A$12:$B$21,2,0))</f>
        <v/>
      </c>
      <c r="S10" s="28" t="str">
        <f aca="false">IF(N10="","",VLOOKUP(N10,Config!$D$12:$E$21,2,0))</f>
        <v/>
      </c>
      <c r="T10" s="29" t="str">
        <f aca="false">IF(V10="Defect",IF(OR(X10="",G10="",R10=""),"",ROUND(MIN(100,VLOOKUP(X10,Config!$G$12:$H$16,2,0)*VLOOKUP(G10,Config!$I$12:$J$21,2,0)*R10),1)),IF(OR(Q10="",R10="",S10="",M10=""),"",ROUND(MIN(100,Q10*R10*S10/M10*20),1)))</f>
        <v/>
      </c>
      <c r="U10" s="30" t="str">
        <f aca="false">IF(T10="","",RANK(T10,$T$4:$T$52))</f>
        <v/>
      </c>
      <c r="V10" s="33"/>
    </row>
    <row r="11" customFormat="false" ht="14.25" hidden="false" customHeight="true" outlineLevel="0" collapsed="false">
      <c r="A11" s="22"/>
      <c r="B11" s="23"/>
      <c r="C11" s="22"/>
      <c r="D11" s="22"/>
      <c r="E11" s="22"/>
      <c r="F11" s="22"/>
      <c r="G11" s="25"/>
      <c r="H11" s="25"/>
      <c r="I11" s="25"/>
      <c r="J11" s="25"/>
      <c r="K11" s="25"/>
      <c r="L11" s="25"/>
      <c r="M11" s="25"/>
      <c r="N11" s="25"/>
      <c r="O11" s="27"/>
      <c r="P11" s="27"/>
      <c r="Q11" s="28" t="str">
        <f aca="false">IF(V11="Defect","",IF(COUNT(G11:K11)&lt;5,"",ROUND(G11*Config!$B$4+H11*Config!$B$5+I11*Config!$B$6+J11*Config!$B$7+K11*Config!$B$8,2)))</f>
        <v/>
      </c>
      <c r="R11" s="28" t="str">
        <f aca="false">IF(L11="","",VLOOKUP(L11,Config!$A$12:$B$21,2,0))</f>
        <v/>
      </c>
      <c r="S11" s="28" t="str">
        <f aca="false">IF(N11="","",VLOOKUP(N11,Config!$D$12:$E$21,2,0))</f>
        <v/>
      </c>
      <c r="T11" s="29" t="str">
        <f aca="false">IF(V11="Defect",IF(OR(X11="",G11="",R11=""),"",ROUND(MIN(100,VLOOKUP(X11,Config!$G$12:$H$16,2,0)*VLOOKUP(G11,Config!$I$12:$J$21,2,0)*R11),1)),IF(OR(Q11="",R11="",S11="",M11=""),"",ROUND(MIN(100,Q11*R11*S11/M11*20),1)))</f>
        <v/>
      </c>
      <c r="U11" s="30" t="str">
        <f aca="false">IF(T11="","",RANK(T11,$T$4:$T$52))</f>
        <v/>
      </c>
      <c r="V11" s="33"/>
    </row>
    <row r="12" customFormat="false" ht="14.25" hidden="false" customHeight="true" outlineLevel="0" collapsed="false">
      <c r="A12" s="22"/>
      <c r="B12" s="23"/>
      <c r="C12" s="22"/>
      <c r="D12" s="22"/>
      <c r="E12" s="22"/>
      <c r="F12" s="22"/>
      <c r="G12" s="25"/>
      <c r="H12" s="25"/>
      <c r="I12" s="25"/>
      <c r="J12" s="25"/>
      <c r="K12" s="25"/>
      <c r="L12" s="25"/>
      <c r="M12" s="25"/>
      <c r="N12" s="25"/>
      <c r="O12" s="27"/>
      <c r="P12" s="27"/>
      <c r="Q12" s="28" t="str">
        <f aca="false">IF(V12="Defect","",IF(COUNT(G12:K12)&lt;5,"",ROUND(G12*Config!$B$4+H12*Config!$B$5+I12*Config!$B$6+J12*Config!$B$7+K12*Config!$B$8,2)))</f>
        <v/>
      </c>
      <c r="R12" s="28" t="str">
        <f aca="false">IF(L12="","",VLOOKUP(L12,Config!$A$12:$B$21,2,0))</f>
        <v/>
      </c>
      <c r="S12" s="28" t="str">
        <f aca="false">IF(N12="","",VLOOKUP(N12,Config!$D$12:$E$21,2,0))</f>
        <v/>
      </c>
      <c r="T12" s="29" t="str">
        <f aca="false">IF(V12="Defect",IF(OR(X12="",G12="",R12=""),"",ROUND(MIN(100,VLOOKUP(X12,Config!$G$12:$H$16,2,0)*VLOOKUP(G12,Config!$I$12:$J$21,2,0)*R12),1)),IF(OR(Q12="",R12="",S12="",M12=""),"",ROUND(MIN(100,Q12*R12*S12/M12*20),1)))</f>
        <v/>
      </c>
      <c r="U12" s="30" t="str">
        <f aca="false">IF(T12="","",RANK(T12,$T$4:$T$52))</f>
        <v/>
      </c>
      <c r="V12" s="33"/>
    </row>
    <row r="13" customFormat="false" ht="14.25" hidden="false" customHeight="true" outlineLevel="0" collapsed="false">
      <c r="A13" s="22"/>
      <c r="B13" s="23"/>
      <c r="C13" s="22"/>
      <c r="D13" s="22"/>
      <c r="E13" s="22"/>
      <c r="F13" s="22"/>
      <c r="G13" s="25"/>
      <c r="H13" s="25"/>
      <c r="I13" s="25"/>
      <c r="J13" s="25"/>
      <c r="K13" s="25"/>
      <c r="L13" s="25"/>
      <c r="M13" s="25"/>
      <c r="N13" s="25"/>
      <c r="O13" s="27"/>
      <c r="P13" s="27"/>
      <c r="Q13" s="28" t="str">
        <f aca="false">IF(V13="Defect","",IF(COUNT(G13:K13)&lt;5,"",ROUND(G13*Config!$B$4+H13*Config!$B$5+I13*Config!$B$6+J13*Config!$B$7+K13*Config!$B$8,2)))</f>
        <v/>
      </c>
      <c r="R13" s="28" t="str">
        <f aca="false">IF(L13="","",VLOOKUP(L13,Config!$A$12:$B$21,2,0))</f>
        <v/>
      </c>
      <c r="S13" s="28" t="str">
        <f aca="false">IF(N13="","",VLOOKUP(N13,Config!$D$12:$E$21,2,0))</f>
        <v/>
      </c>
      <c r="T13" s="29" t="str">
        <f aca="false">IF(V13="Defect",IF(OR(X13="",G13="",R13=""),"",ROUND(MIN(100,VLOOKUP(X13,Config!$G$12:$H$16,2,0)*VLOOKUP(G13,Config!$I$12:$J$21,2,0)*R13),1)),IF(OR(Q13="",R13="",S13="",M13=""),"",ROUND(MIN(100,Q13*R13*S13/M13*20),1)))</f>
        <v/>
      </c>
      <c r="U13" s="30" t="str">
        <f aca="false">IF(T13="","",RANK(T13,$T$4:$T$52))</f>
        <v/>
      </c>
      <c r="V13" s="33"/>
    </row>
    <row r="14" customFormat="false" ht="14.25" hidden="false" customHeight="true" outlineLevel="0" collapsed="false">
      <c r="A14" s="22"/>
      <c r="B14" s="23"/>
      <c r="C14" s="22"/>
      <c r="D14" s="22"/>
      <c r="E14" s="22"/>
      <c r="F14" s="22"/>
      <c r="G14" s="25"/>
      <c r="H14" s="25"/>
      <c r="I14" s="25"/>
      <c r="J14" s="25"/>
      <c r="K14" s="25"/>
      <c r="L14" s="25"/>
      <c r="M14" s="25"/>
      <c r="N14" s="25"/>
      <c r="O14" s="27"/>
      <c r="P14" s="27"/>
      <c r="Q14" s="28" t="str">
        <f aca="false">IF(V14="Defect","",IF(COUNT(G14:K14)&lt;5,"",ROUND(G14*Config!$B$4+H14*Config!$B$5+I14*Config!$B$6+J14*Config!$B$7+K14*Config!$B$8,2)))</f>
        <v/>
      </c>
      <c r="R14" s="28" t="str">
        <f aca="false">IF(L14="","",VLOOKUP(L14,Config!$A$12:$B$21,2,0))</f>
        <v/>
      </c>
      <c r="S14" s="28" t="str">
        <f aca="false">IF(N14="","",VLOOKUP(N14,Config!$D$12:$E$21,2,0))</f>
        <v/>
      </c>
      <c r="T14" s="29" t="str">
        <f aca="false">IF(V14="Defect",IF(OR(X14="",G14="",R14=""),"",ROUND(MIN(100,VLOOKUP(X14,Config!$G$12:$H$16,2,0)*VLOOKUP(G14,Config!$I$12:$J$21,2,0)*R14),1)),IF(OR(Q14="",R14="",S14="",M14=""),"",ROUND(MIN(100,Q14*R14*S14/M14*20),1)))</f>
        <v/>
      </c>
      <c r="U14" s="30" t="str">
        <f aca="false">IF(T14="","",RANK(T14,$T$4:$T$52))</f>
        <v/>
      </c>
      <c r="V14" s="33"/>
    </row>
    <row r="15" customFormat="false" ht="14.25" hidden="false" customHeight="true" outlineLevel="0" collapsed="false">
      <c r="A15" s="22"/>
      <c r="B15" s="23"/>
      <c r="C15" s="22"/>
      <c r="D15" s="22"/>
      <c r="E15" s="22"/>
      <c r="F15" s="22"/>
      <c r="G15" s="25"/>
      <c r="H15" s="25"/>
      <c r="I15" s="25"/>
      <c r="J15" s="25"/>
      <c r="K15" s="25"/>
      <c r="L15" s="25"/>
      <c r="M15" s="25"/>
      <c r="N15" s="25"/>
      <c r="O15" s="27"/>
      <c r="P15" s="27"/>
      <c r="Q15" s="28" t="str">
        <f aca="false">IF(V15="Defect","",IF(COUNT(G15:K15)&lt;5,"",ROUND(G15*Config!$B$4+H15*Config!$B$5+I15*Config!$B$6+J15*Config!$B$7+K15*Config!$B$8,2)))</f>
        <v/>
      </c>
      <c r="R15" s="28" t="str">
        <f aca="false">IF(L15="","",VLOOKUP(L15,Config!$A$12:$B$21,2,0))</f>
        <v/>
      </c>
      <c r="S15" s="28" t="str">
        <f aca="false">IF(N15="","",VLOOKUP(N15,Config!$D$12:$E$21,2,0))</f>
        <v/>
      </c>
      <c r="T15" s="29" t="str">
        <f aca="false">IF(V15="Defect",IF(OR(X15="",G15="",R15=""),"",ROUND(MIN(100,VLOOKUP(X15,Config!$G$12:$H$16,2,0)*VLOOKUP(G15,Config!$I$12:$J$21,2,0)*R15),1)),IF(OR(Q15="",R15="",S15="",M15=""),"",ROUND(MIN(100,Q15*R15*S15/M15*20),1)))</f>
        <v/>
      </c>
      <c r="U15" s="30" t="str">
        <f aca="false">IF(T15="","",RANK(T15,$T$4:$T$52))</f>
        <v/>
      </c>
      <c r="V15" s="33"/>
    </row>
    <row r="16" customFormat="false" ht="14.25" hidden="false" customHeight="true" outlineLevel="0" collapsed="false">
      <c r="A16" s="22"/>
      <c r="B16" s="23"/>
      <c r="C16" s="22"/>
      <c r="D16" s="22"/>
      <c r="E16" s="22"/>
      <c r="F16" s="22"/>
      <c r="G16" s="25"/>
      <c r="H16" s="25"/>
      <c r="I16" s="25"/>
      <c r="J16" s="25"/>
      <c r="K16" s="25"/>
      <c r="L16" s="25"/>
      <c r="M16" s="25"/>
      <c r="N16" s="25"/>
      <c r="O16" s="27"/>
      <c r="P16" s="27"/>
      <c r="Q16" s="28" t="str">
        <f aca="false">IF(V16="Defect","",IF(COUNT(G16:K16)&lt;5,"",ROUND(G16*Config!$B$4+H16*Config!$B$5+I16*Config!$B$6+J16*Config!$B$7+K16*Config!$B$8,2)))</f>
        <v/>
      </c>
      <c r="R16" s="28" t="str">
        <f aca="false">IF(L16="","",VLOOKUP(L16,Config!$A$12:$B$21,2,0))</f>
        <v/>
      </c>
      <c r="S16" s="28" t="str">
        <f aca="false">IF(N16="","",VLOOKUP(N16,Config!$D$12:$E$21,2,0))</f>
        <v/>
      </c>
      <c r="T16" s="29" t="str">
        <f aca="false">IF(V16="Defect",IF(OR(X16="",G16="",R16=""),"",ROUND(MIN(100,VLOOKUP(X16,Config!$G$12:$H$16,2,0)*VLOOKUP(G16,Config!$I$12:$J$21,2,0)*R16),1)),IF(OR(Q16="",R16="",S16="",M16=""),"",ROUND(MIN(100,Q16*R16*S16/M16*20),1)))</f>
        <v/>
      </c>
      <c r="U16" s="30" t="str">
        <f aca="false">IF(T16="","",RANK(T16,$T$4:$T$52))</f>
        <v/>
      </c>
      <c r="V16" s="33"/>
    </row>
    <row r="17" customFormat="false" ht="14.25" hidden="false" customHeight="true" outlineLevel="0" collapsed="false">
      <c r="A17" s="22"/>
      <c r="B17" s="23"/>
      <c r="C17" s="22"/>
      <c r="D17" s="22"/>
      <c r="E17" s="22"/>
      <c r="F17" s="22"/>
      <c r="G17" s="25"/>
      <c r="H17" s="25"/>
      <c r="I17" s="25"/>
      <c r="J17" s="25"/>
      <c r="K17" s="25"/>
      <c r="L17" s="25"/>
      <c r="M17" s="25"/>
      <c r="N17" s="25"/>
      <c r="O17" s="27"/>
      <c r="P17" s="27"/>
      <c r="Q17" s="28" t="str">
        <f aca="false">IF(V17="Defect","",IF(COUNT(G17:K17)&lt;5,"",ROUND(G17*Config!$B$4+H17*Config!$B$5+I17*Config!$B$6+J17*Config!$B$7+K17*Config!$B$8,2)))</f>
        <v/>
      </c>
      <c r="R17" s="28" t="str">
        <f aca="false">IF(L17="","",VLOOKUP(L17,Config!$A$12:$B$21,2,0))</f>
        <v/>
      </c>
      <c r="S17" s="28" t="str">
        <f aca="false">IF(N17="","",VLOOKUP(N17,Config!$D$12:$E$21,2,0))</f>
        <v/>
      </c>
      <c r="T17" s="29" t="str">
        <f aca="false">IF(V17="Defect",IF(OR(X17="",G17="",R17=""),"",ROUND(MIN(100,VLOOKUP(X17,Config!$G$12:$H$16,2,0)*VLOOKUP(G17,Config!$I$12:$J$21,2,0)*R17),1)),IF(OR(Q17="",R17="",S17="",M17=""),"",ROUND(MIN(100,Q17*R17*S17/M17*20),1)))</f>
        <v/>
      </c>
      <c r="U17" s="30" t="str">
        <f aca="false">IF(T17="","",RANK(T17,$T$4:$T$52))</f>
        <v/>
      </c>
      <c r="V17" s="33"/>
    </row>
    <row r="18" customFormat="false" ht="14.25" hidden="false" customHeight="true" outlineLevel="0" collapsed="false">
      <c r="A18" s="22"/>
      <c r="B18" s="23"/>
      <c r="C18" s="22"/>
      <c r="D18" s="22"/>
      <c r="E18" s="22"/>
      <c r="F18" s="22"/>
      <c r="G18" s="25"/>
      <c r="H18" s="25"/>
      <c r="I18" s="25"/>
      <c r="J18" s="25"/>
      <c r="K18" s="25"/>
      <c r="L18" s="25"/>
      <c r="M18" s="25"/>
      <c r="N18" s="25"/>
      <c r="O18" s="27"/>
      <c r="P18" s="27"/>
      <c r="Q18" s="28" t="str">
        <f aca="false">IF(V18="Defect","",IF(COUNT(G18:K18)&lt;5,"",ROUND(G18*Config!$B$4+H18*Config!$B$5+I18*Config!$B$6+J18*Config!$B$7+K18*Config!$B$8,2)))</f>
        <v/>
      </c>
      <c r="R18" s="28" t="str">
        <f aca="false">IF(L18="","",VLOOKUP(L18,Config!$A$12:$B$21,2,0))</f>
        <v/>
      </c>
      <c r="S18" s="28" t="str">
        <f aca="false">IF(N18="","",VLOOKUP(N18,Config!$D$12:$E$21,2,0))</f>
        <v/>
      </c>
      <c r="T18" s="29" t="str">
        <f aca="false">IF(V18="Defect",IF(OR(X18="",G18="",R18=""),"",ROUND(MIN(100,VLOOKUP(X18,Config!$G$12:$H$16,2,0)*VLOOKUP(G18,Config!$I$12:$J$21,2,0)*R18),1)),IF(OR(Q18="",R18="",S18="",M18=""),"",ROUND(MIN(100,Q18*R18*S18/M18*20),1)))</f>
        <v/>
      </c>
      <c r="U18" s="30" t="str">
        <f aca="false">IF(T18="","",RANK(T18,$T$4:$T$52))</f>
        <v/>
      </c>
      <c r="V18" s="33"/>
    </row>
    <row r="19" customFormat="false" ht="14.25" hidden="false" customHeight="true" outlineLevel="0" collapsed="false">
      <c r="A19" s="22"/>
      <c r="B19" s="23"/>
      <c r="C19" s="22"/>
      <c r="D19" s="22"/>
      <c r="E19" s="22"/>
      <c r="F19" s="22"/>
      <c r="G19" s="25"/>
      <c r="H19" s="25"/>
      <c r="I19" s="25"/>
      <c r="J19" s="25"/>
      <c r="K19" s="25"/>
      <c r="L19" s="25"/>
      <c r="M19" s="25"/>
      <c r="N19" s="25"/>
      <c r="O19" s="27"/>
      <c r="P19" s="27"/>
      <c r="Q19" s="28" t="str">
        <f aca="false">IF(V19="Defect","",IF(COUNT(G19:K19)&lt;5,"",ROUND(G19*Config!$B$4+H19*Config!$B$5+I19*Config!$B$6+J19*Config!$B$7+K19*Config!$B$8,2)))</f>
        <v/>
      </c>
      <c r="R19" s="28" t="str">
        <f aca="false">IF(L19="","",VLOOKUP(L19,Config!$A$12:$B$21,2,0))</f>
        <v/>
      </c>
      <c r="S19" s="28" t="str">
        <f aca="false">IF(N19="","",VLOOKUP(N19,Config!$D$12:$E$21,2,0))</f>
        <v/>
      </c>
      <c r="T19" s="29" t="str">
        <f aca="false">IF(V19="Defect",IF(OR(X19="",G19="",R19=""),"",ROUND(MIN(100,VLOOKUP(X19,Config!$G$12:$H$16,2,0)*VLOOKUP(G19,Config!$I$12:$J$21,2,0)*R19),1)),IF(OR(Q19="",R19="",S19="",M19=""),"",ROUND(MIN(100,Q19*R19*S19/M19*20),1)))</f>
        <v/>
      </c>
      <c r="U19" s="30" t="str">
        <f aca="false">IF(T19="","",RANK(T19,$T$4:$T$52))</f>
        <v/>
      </c>
      <c r="V19" s="33"/>
    </row>
    <row r="20" customFormat="false" ht="14.25" hidden="false" customHeight="true" outlineLevel="0" collapsed="false">
      <c r="A20" s="22"/>
      <c r="B20" s="23"/>
      <c r="C20" s="22"/>
      <c r="D20" s="22"/>
      <c r="E20" s="22"/>
      <c r="F20" s="22"/>
      <c r="G20" s="25"/>
      <c r="H20" s="25"/>
      <c r="I20" s="25"/>
      <c r="J20" s="25"/>
      <c r="K20" s="25"/>
      <c r="L20" s="25"/>
      <c r="M20" s="25"/>
      <c r="N20" s="25"/>
      <c r="O20" s="27"/>
      <c r="P20" s="27"/>
      <c r="Q20" s="28" t="str">
        <f aca="false">IF(V20="Defect","",IF(COUNT(G20:K20)&lt;5,"",ROUND(G20*Config!$B$4+H20*Config!$B$5+I20*Config!$B$6+J20*Config!$B$7+K20*Config!$B$8,2)))</f>
        <v/>
      </c>
      <c r="R20" s="28" t="str">
        <f aca="false">IF(L20="","",VLOOKUP(L20,Config!$A$12:$B$21,2,0))</f>
        <v/>
      </c>
      <c r="S20" s="28" t="str">
        <f aca="false">IF(N20="","",VLOOKUP(N20,Config!$D$12:$E$21,2,0))</f>
        <v/>
      </c>
      <c r="T20" s="29" t="str">
        <f aca="false">IF(V20="Defect",IF(OR(X20="",G20="",R20=""),"",ROUND(MIN(100,VLOOKUP(X20,Config!$G$12:$H$16,2,0)*VLOOKUP(G20,Config!$I$12:$J$21,2,0)*R20),1)),IF(OR(Q20="",R20="",S20="",M20=""),"",ROUND(MIN(100,Q20*R20*S20/M20*20),1)))</f>
        <v/>
      </c>
      <c r="U20" s="30" t="str">
        <f aca="false">IF(T20="","",RANK(T20,$T$4:$T$52))</f>
        <v/>
      </c>
      <c r="V20" s="33"/>
    </row>
    <row r="21" customFormat="false" ht="14.25" hidden="false" customHeight="true" outlineLevel="0" collapsed="false">
      <c r="A21" s="22"/>
      <c r="B21" s="23"/>
      <c r="C21" s="22"/>
      <c r="D21" s="22"/>
      <c r="E21" s="22"/>
      <c r="F21" s="22"/>
      <c r="G21" s="25"/>
      <c r="H21" s="25"/>
      <c r="I21" s="25"/>
      <c r="J21" s="25"/>
      <c r="K21" s="25"/>
      <c r="L21" s="25"/>
      <c r="M21" s="25"/>
      <c r="N21" s="25"/>
      <c r="O21" s="27"/>
      <c r="P21" s="27"/>
      <c r="Q21" s="28" t="str">
        <f aca="false">IF(V21="Defect","",IF(COUNT(G21:K21)&lt;5,"",ROUND(G21*Config!$B$4+H21*Config!$B$5+I21*Config!$B$6+J21*Config!$B$7+K21*Config!$B$8,2)))</f>
        <v/>
      </c>
      <c r="R21" s="28" t="str">
        <f aca="false">IF(L21="","",VLOOKUP(L21,Config!$A$12:$B$21,2,0))</f>
        <v/>
      </c>
      <c r="S21" s="28" t="str">
        <f aca="false">IF(N21="","",VLOOKUP(N21,Config!$D$12:$E$21,2,0))</f>
        <v/>
      </c>
      <c r="T21" s="29" t="str">
        <f aca="false">IF(V21="Defect",IF(OR(X21="",G21="",R21=""),"",ROUND(MIN(100,VLOOKUP(X21,Config!$G$12:$H$16,2,0)*VLOOKUP(G21,Config!$I$12:$J$21,2,0)*R21),1)),IF(OR(Q21="",R21="",S21="",M21=""),"",ROUND(MIN(100,Q21*R21*S21/M21*20),1)))</f>
        <v/>
      </c>
      <c r="U21" s="30" t="str">
        <f aca="false">IF(T21="","",RANK(T21,$T$4:$T$52))</f>
        <v/>
      </c>
      <c r="V21" s="33"/>
    </row>
    <row r="22" customFormat="false" ht="14.25" hidden="false" customHeight="true" outlineLevel="0" collapsed="false">
      <c r="A22" s="22"/>
      <c r="B22" s="23"/>
      <c r="C22" s="22"/>
      <c r="D22" s="22"/>
      <c r="E22" s="22"/>
      <c r="F22" s="22"/>
      <c r="G22" s="25"/>
      <c r="H22" s="25"/>
      <c r="I22" s="25"/>
      <c r="J22" s="25"/>
      <c r="K22" s="25"/>
      <c r="L22" s="25"/>
      <c r="M22" s="25"/>
      <c r="N22" s="25"/>
      <c r="O22" s="27"/>
      <c r="P22" s="27"/>
      <c r="Q22" s="28" t="str">
        <f aca="false">IF(V22="Defect","",IF(COUNT(G22:K22)&lt;5,"",ROUND(G22*Config!$B$4+H22*Config!$B$5+I22*Config!$B$6+J22*Config!$B$7+K22*Config!$B$8,2)))</f>
        <v/>
      </c>
      <c r="R22" s="28" t="str">
        <f aca="false">IF(L22="","",VLOOKUP(L22,Config!$A$12:$B$21,2,0))</f>
        <v/>
      </c>
      <c r="S22" s="28" t="str">
        <f aca="false">IF(N22="","",VLOOKUP(N22,Config!$D$12:$E$21,2,0))</f>
        <v/>
      </c>
      <c r="T22" s="29" t="str">
        <f aca="false">IF(V22="Defect",IF(OR(X22="",G22="",R22=""),"",ROUND(MIN(100,VLOOKUP(X22,Config!$G$12:$H$16,2,0)*VLOOKUP(G22,Config!$I$12:$J$21,2,0)*R22),1)),IF(OR(Q22="",R22="",S22="",M22=""),"",ROUND(MIN(100,Q22*R22*S22/M22*20),1)))</f>
        <v/>
      </c>
      <c r="U22" s="30" t="str">
        <f aca="false">IF(T22="","",RANK(T22,$T$4:$T$52))</f>
        <v/>
      </c>
      <c r="V22" s="33"/>
    </row>
    <row r="23" customFormat="false" ht="14.25" hidden="false" customHeight="true" outlineLevel="0" collapsed="false">
      <c r="A23" s="22"/>
      <c r="B23" s="23"/>
      <c r="C23" s="22"/>
      <c r="D23" s="22"/>
      <c r="E23" s="22"/>
      <c r="F23" s="22"/>
      <c r="G23" s="25"/>
      <c r="H23" s="25"/>
      <c r="I23" s="25"/>
      <c r="J23" s="25"/>
      <c r="K23" s="25"/>
      <c r="L23" s="25"/>
      <c r="M23" s="25"/>
      <c r="N23" s="25"/>
      <c r="O23" s="27"/>
      <c r="P23" s="27"/>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3"/>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3"/>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3"/>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3"/>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3"/>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3"/>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3"/>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3"/>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3"/>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3"/>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3"/>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3"/>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3"/>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3"/>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3"/>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3"/>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3"/>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3"/>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3"/>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3"/>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3"/>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3"/>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3"/>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3"/>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3"/>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3"/>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3"/>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3"/>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3"/>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3"/>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1" activeCellId="0" sqref="F21"/>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205</v>
      </c>
    </row>
    <row r="3" customFormat="false" ht="14.25" hidden="false" customHeight="true" outlineLevel="0" collapsed="false">
      <c r="A3" s="36" t="s">
        <v>206</v>
      </c>
      <c r="B3" s="36" t="s">
        <v>207</v>
      </c>
      <c r="C3" s="36" t="s">
        <v>208</v>
      </c>
      <c r="D3" s="36" t="s">
        <v>209</v>
      </c>
      <c r="E3" s="36" t="s">
        <v>210</v>
      </c>
      <c r="F3" s="36" t="s">
        <v>211</v>
      </c>
    </row>
    <row r="4" customFormat="false" ht="14.25" hidden="false" customHeight="true" outlineLevel="0" collapsed="false">
      <c r="A4" s="18" t="s">
        <v>212</v>
      </c>
      <c r="B4" s="18" t="s">
        <v>213</v>
      </c>
      <c r="C4" s="18" t="s">
        <v>214</v>
      </c>
      <c r="D4" s="18" t="s">
        <v>215</v>
      </c>
      <c r="E4" s="18" t="s">
        <v>216</v>
      </c>
      <c r="F4" s="18" t="s">
        <v>217</v>
      </c>
    </row>
    <row r="5" customFormat="false" ht="14.25" hidden="false" customHeight="true" outlineLevel="0" collapsed="false">
      <c r="A5" s="18" t="s">
        <v>218</v>
      </c>
      <c r="B5" s="18" t="s">
        <v>219</v>
      </c>
      <c r="C5" s="18" t="s">
        <v>214</v>
      </c>
      <c r="D5" s="18" t="s">
        <v>220</v>
      </c>
      <c r="E5" s="18" t="s">
        <v>216</v>
      </c>
      <c r="F5" s="18" t="s">
        <v>221</v>
      </c>
    </row>
    <row r="6" customFormat="false" ht="26.25" hidden="false" customHeight="true" outlineLevel="0" collapsed="false">
      <c r="A6" s="18" t="s">
        <v>222</v>
      </c>
      <c r="B6" s="18" t="s">
        <v>223</v>
      </c>
      <c r="C6" s="18" t="s">
        <v>214</v>
      </c>
      <c r="D6" s="18" t="s">
        <v>224</v>
      </c>
      <c r="E6" s="18" t="s">
        <v>216</v>
      </c>
      <c r="F6" s="18" t="s">
        <v>225</v>
      </c>
    </row>
    <row r="7" customFormat="false" ht="27.75" hidden="false" customHeight="true" outlineLevel="0" collapsed="false">
      <c r="A7" s="18" t="s">
        <v>226</v>
      </c>
      <c r="B7" s="18" t="s">
        <v>227</v>
      </c>
      <c r="C7" s="18" t="s">
        <v>228</v>
      </c>
      <c r="D7" s="18" t="s">
        <v>229</v>
      </c>
      <c r="E7" s="18" t="s">
        <v>230</v>
      </c>
      <c r="F7" s="18" t="s">
        <v>231</v>
      </c>
    </row>
    <row r="8" customFormat="false" ht="14.25" hidden="false" customHeight="true" outlineLevel="0" collapsed="false">
      <c r="A8" s="18" t="s">
        <v>232</v>
      </c>
      <c r="B8" s="18" t="s">
        <v>233</v>
      </c>
      <c r="C8" s="18" t="s">
        <v>228</v>
      </c>
      <c r="D8" s="18" t="s">
        <v>234</v>
      </c>
      <c r="E8" s="18" t="s">
        <v>235</v>
      </c>
      <c r="F8" s="18" t="s">
        <v>236</v>
      </c>
    </row>
    <row r="9" customFormat="false" ht="14.25" hidden="false" customHeight="true" outlineLevel="0" collapsed="false">
      <c r="A9" s="18" t="s">
        <v>237</v>
      </c>
      <c r="B9" s="18" t="s">
        <v>238</v>
      </c>
      <c r="C9" s="18" t="s">
        <v>239</v>
      </c>
      <c r="D9" s="18" t="s">
        <v>240</v>
      </c>
      <c r="E9" s="18" t="s">
        <v>235</v>
      </c>
      <c r="F9" s="18" t="s">
        <v>241</v>
      </c>
    </row>
    <row r="10" customFormat="false" ht="26.25" hidden="false" customHeight="true" outlineLevel="0" collapsed="false">
      <c r="A10" s="18" t="s">
        <v>242</v>
      </c>
      <c r="B10" s="18" t="s">
        <v>243</v>
      </c>
      <c r="C10" s="18" t="s">
        <v>244</v>
      </c>
      <c r="D10" s="18" t="s">
        <v>245</v>
      </c>
      <c r="E10" s="18" t="s">
        <v>246</v>
      </c>
      <c r="F10" s="18" t="s">
        <v>247</v>
      </c>
    </row>
    <row r="11" customFormat="false" ht="14.25" hidden="false" customHeight="true" outlineLevel="0" collapsed="false">
      <c r="A11" s="18" t="s">
        <v>248</v>
      </c>
      <c r="B11" s="18" t="s">
        <v>249</v>
      </c>
      <c r="C11" s="18" t="s">
        <v>244</v>
      </c>
      <c r="D11" s="18" t="s">
        <v>245</v>
      </c>
      <c r="E11" s="18" t="s">
        <v>246</v>
      </c>
      <c r="F11" s="18" t="s">
        <v>250</v>
      </c>
    </row>
    <row r="12" customFormat="false" ht="14.25" hidden="false" customHeight="true" outlineLevel="0" collapsed="false">
      <c r="A12" s="18" t="s">
        <v>251</v>
      </c>
      <c r="B12" s="18" t="s">
        <v>252</v>
      </c>
      <c r="C12" s="18" t="s">
        <v>244</v>
      </c>
      <c r="D12" s="18" t="s">
        <v>245</v>
      </c>
      <c r="E12" s="18" t="s">
        <v>246</v>
      </c>
      <c r="F12" s="18" t="s">
        <v>253</v>
      </c>
    </row>
    <row r="13" customFormat="false" ht="26.25" hidden="false" customHeight="true" outlineLevel="0" collapsed="false">
      <c r="A13" s="18" t="s">
        <v>254</v>
      </c>
      <c r="B13" s="18" t="s">
        <v>255</v>
      </c>
      <c r="C13" s="18" t="s">
        <v>244</v>
      </c>
      <c r="D13" s="18" t="s">
        <v>245</v>
      </c>
      <c r="E13" s="18" t="s">
        <v>216</v>
      </c>
      <c r="F13" s="18" t="s">
        <v>256</v>
      </c>
    </row>
    <row r="14" customFormat="false" ht="14.25" hidden="false" customHeight="true" outlineLevel="0" collapsed="false">
      <c r="A14" s="18" t="s">
        <v>257</v>
      </c>
      <c r="B14" s="18" t="s">
        <v>258</v>
      </c>
      <c r="C14" s="18" t="s">
        <v>244</v>
      </c>
      <c r="D14" s="18" t="s">
        <v>245</v>
      </c>
      <c r="E14" s="18" t="s">
        <v>246</v>
      </c>
      <c r="F14" s="18" t="s">
        <v>259</v>
      </c>
    </row>
    <row r="15" customFormat="false" ht="39" hidden="false" customHeight="true" outlineLevel="0" collapsed="false">
      <c r="A15" s="18" t="s">
        <v>260</v>
      </c>
      <c r="B15" s="18" t="s">
        <v>261</v>
      </c>
      <c r="C15" s="18" t="s">
        <v>244</v>
      </c>
      <c r="D15" s="18" t="s">
        <v>245</v>
      </c>
      <c r="E15" s="18" t="s">
        <v>235</v>
      </c>
      <c r="F15" s="18" t="s">
        <v>262</v>
      </c>
    </row>
    <row r="16" customFormat="false" ht="26.25" hidden="false" customHeight="true" outlineLevel="0" collapsed="false">
      <c r="A16" s="18" t="s">
        <v>263</v>
      </c>
      <c r="B16" s="18" t="s">
        <v>264</v>
      </c>
      <c r="C16" s="18" t="s">
        <v>244</v>
      </c>
      <c r="D16" s="18" t="s">
        <v>245</v>
      </c>
      <c r="E16" s="18" t="s">
        <v>265</v>
      </c>
      <c r="F16" s="18" t="s">
        <v>266</v>
      </c>
    </row>
    <row r="17" customFormat="false" ht="26.25" hidden="false" customHeight="true" outlineLevel="0" collapsed="false">
      <c r="A17" s="18" t="s">
        <v>267</v>
      </c>
      <c r="B17" s="18" t="s">
        <v>268</v>
      </c>
      <c r="C17" s="18" t="s">
        <v>244</v>
      </c>
      <c r="D17" s="18" t="s">
        <v>245</v>
      </c>
      <c r="E17" s="18" t="s">
        <v>216</v>
      </c>
      <c r="F17" s="18" t="s">
        <v>269</v>
      </c>
    </row>
    <row r="18" customFormat="false" ht="27.75" hidden="false" customHeight="true" outlineLevel="0" collapsed="false">
      <c r="A18" s="18" t="s">
        <v>270</v>
      </c>
      <c r="B18" s="18" t="s">
        <v>271</v>
      </c>
      <c r="C18" s="18" t="s">
        <v>214</v>
      </c>
      <c r="D18" s="18" t="s">
        <v>272</v>
      </c>
      <c r="E18" s="18" t="s">
        <v>235</v>
      </c>
      <c r="F18" s="18" t="s">
        <v>273</v>
      </c>
    </row>
    <row r="19" customFormat="false" ht="14.25" hidden="false" customHeight="true" outlineLevel="0" collapsed="false">
      <c r="A19" s="18" t="s">
        <v>274</v>
      </c>
      <c r="B19" s="18" t="s">
        <v>275</v>
      </c>
      <c r="C19" s="18" t="s">
        <v>214</v>
      </c>
      <c r="D19" s="18" t="s">
        <v>220</v>
      </c>
      <c r="E19" s="18" t="s">
        <v>235</v>
      </c>
      <c r="F19" s="18" t="s">
        <v>276</v>
      </c>
    </row>
    <row r="20" customFormat="false" ht="26.25" hidden="false" customHeight="true" outlineLevel="0" collapsed="false">
      <c r="A20" s="18" t="s">
        <v>277</v>
      </c>
      <c r="B20" s="18" t="s">
        <v>278</v>
      </c>
      <c r="C20" s="18" t="s">
        <v>279</v>
      </c>
      <c r="D20" s="18" t="s">
        <v>280</v>
      </c>
      <c r="E20" s="18" t="s">
        <v>281</v>
      </c>
      <c r="F20" s="18" t="s">
        <v>282</v>
      </c>
    </row>
    <row r="21" customFormat="false" ht="14.25" hidden="false" customHeight="true" outlineLevel="0" collapsed="false">
      <c r="A21" s="18" t="s">
        <v>283</v>
      </c>
      <c r="B21" s="18" t="s">
        <v>284</v>
      </c>
      <c r="C21" s="18" t="s">
        <v>279</v>
      </c>
      <c r="D21" s="18" t="s">
        <v>285</v>
      </c>
      <c r="E21" s="18" t="s">
        <v>281</v>
      </c>
      <c r="F21" s="18" t="s">
        <v>286</v>
      </c>
    </row>
    <row r="22" customFormat="false" ht="14.25" hidden="false" customHeight="true" outlineLevel="0" collapsed="false">
      <c r="A22" s="18" t="s">
        <v>287</v>
      </c>
      <c r="B22" s="18" t="s">
        <v>288</v>
      </c>
      <c r="C22" s="18" t="s">
        <v>279</v>
      </c>
      <c r="D22" s="18" t="s">
        <v>289</v>
      </c>
      <c r="E22" s="18" t="s">
        <v>281</v>
      </c>
      <c r="F22" s="18" t="s">
        <v>290</v>
      </c>
    </row>
    <row r="23" customFormat="false" ht="51.75" hidden="false" customHeight="true" outlineLevel="0" collapsed="false">
      <c r="A23" s="18" t="s">
        <v>291</v>
      </c>
      <c r="B23" s="18" t="s">
        <v>292</v>
      </c>
      <c r="C23" s="18" t="s">
        <v>279</v>
      </c>
      <c r="D23" s="18" t="s">
        <v>293</v>
      </c>
      <c r="E23" s="18" t="s">
        <v>281</v>
      </c>
      <c r="F23" s="18" t="s">
        <v>294</v>
      </c>
    </row>
    <row r="24" customFormat="false" ht="14.25" hidden="false" customHeight="true" outlineLevel="0" collapsed="false">
      <c r="A24" s="18" t="s">
        <v>295</v>
      </c>
      <c r="B24" s="18" t="s">
        <v>296</v>
      </c>
      <c r="C24" s="18" t="s">
        <v>279</v>
      </c>
      <c r="D24" s="18" t="s">
        <v>297</v>
      </c>
      <c r="E24" s="18" t="s">
        <v>281</v>
      </c>
      <c r="F24" s="18" t="s">
        <v>298</v>
      </c>
    </row>
    <row r="25" customFormat="false" ht="39" hidden="false" customHeight="true" outlineLevel="0" collapsed="false">
      <c r="A25" s="18" t="s">
        <v>299</v>
      </c>
      <c r="B25" s="18" t="s">
        <v>300</v>
      </c>
      <c r="C25" s="18" t="s">
        <v>228</v>
      </c>
      <c r="D25" s="18" t="s">
        <v>301</v>
      </c>
      <c r="E25" s="18" t="s">
        <v>216</v>
      </c>
      <c r="F25" s="18" t="s">
        <v>302</v>
      </c>
    </row>
    <row r="26" customFormat="false" ht="26.25" hidden="false" customHeight="true" outlineLevel="0" collapsed="false">
      <c r="A26" s="18" t="s">
        <v>303</v>
      </c>
      <c r="B26" s="18" t="s">
        <v>304</v>
      </c>
      <c r="C26" s="18" t="s">
        <v>228</v>
      </c>
      <c r="D26" s="18" t="s">
        <v>305</v>
      </c>
      <c r="E26" s="18" t="s">
        <v>306</v>
      </c>
      <c r="F26" s="18" t="s">
        <v>307</v>
      </c>
    </row>
    <row r="27" customFormat="false" ht="51.75" hidden="false" customHeight="true" outlineLevel="0" collapsed="false">
      <c r="A27" s="18" t="s">
        <v>308</v>
      </c>
      <c r="B27" s="18" t="s">
        <v>309</v>
      </c>
      <c r="C27" s="18" t="s">
        <v>244</v>
      </c>
      <c r="D27" s="18" t="s">
        <v>310</v>
      </c>
      <c r="E27" s="18" t="s">
        <v>311</v>
      </c>
      <c r="F27" s="18"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2026-07-12T07:57:10Z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