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<sst xmlns="http://schemas.openxmlformats.org/spreadsheetml/2006/main" count="496" uniqueCount="382">
  <si>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</si>
  <si>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</si>
  <si>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</si>
  <si>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</si>
  <si>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</si>
  <si>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</si>
  <si>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</si>
  <si>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</si>
  <si>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</si>
  <si>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</si>
  <si>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</si>
  <si>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</si>
  <si>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</si>
  <si>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</si>
  <si>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</si>
  <si>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</si>
  <si>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</si>
  <si>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</si>
  <si>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</si>
  <si>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</si>
  <si>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</si>
  <si>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</si>
  <si>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</si>
  <si>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</si>
  <si>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</si>
  <si>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</si>
  <si>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</si>
  <si>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</si>
  <si>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</si>
  <si>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</si>
  <si>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</si>
  <si>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</si>
  <si>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</si>
  <si>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</si>
  <si>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</si>
  <si>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</si>
  <si>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</si>
  <si>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</si>
  <si>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</si>
  <si>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</si>
  <si>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</si>
  <si>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</si>
  <si>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</si>
  <si>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</si>
  <si>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</si>
  <si>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</si>
  <si>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</si>
  <si>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</si>
  <si>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</si>
  <si>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</si>
  <si>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</si>
  <si>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</si>
  <si>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</si>
  <si>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</si>
  <si>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</si>
  <si>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</si>
  <si>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</si>
  <si>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</si>
  <si>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</si>
  <si>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</si>
  <si>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</si>
  <si>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</si>
  <si>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</si>
  <si>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</si>
  <si>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</si>
  <si>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</si>
  <si>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</si>
  <si>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</si>
  <si>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</si>
  <si>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</si>
  <si>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</si>
  <si>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</si>
  <si>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</si>
  <si>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</si>
  <si>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</si>
  <si>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</si>
  <si>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</si>
  <si>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</si>
  <si>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</si>
  <si>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</si>
  <si>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</si>
  <si>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</si>
  <si>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</si>
  <si>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</si>
  <si>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</si>
  <si>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</si>
  <si>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</si>
  <si>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</si>
  <si>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</si>
  <si>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</si>
  <si>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</si>
  <si>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</si>
  <si>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</si>
  <si>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</si>
  <si>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</si>
  <si>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</si>
  <si>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</si>
  <si>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</si>
  <si>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</si>
  <si>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</si>
  <si>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</si>
  <si>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</si>
  <si>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</si>
  <si>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</si>
  <si>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</si>
  <si>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</si>
  <si>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</si>
  <si>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</si>
  <si>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</si>
  <si>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</si>
  <si>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</si>
  <si>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</si>
  <si>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</si>
  <si>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</si>
  <si>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</si>
  <si>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</si>
  <si>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</si>
  <si>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</si>
  <si>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</si>
  <si>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</si>
  <si>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</si>
  <si>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</si>
  <si>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</si>
  <si>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</si>
  <si>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</si>
  <si>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</si>
  <si>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</si>
  <si>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</si>
  <si>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</si>
  <si>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</si>
  <si>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</si>
  <si>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</si>
  <si>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</si>
  <si>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</si>
  <si>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</si>
  <si>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</si>
  <si>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</si>
  <si>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</si>
  <si>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</si>
  <si>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</si>
  <si>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</si>
  <si>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</si>
  <si>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</si>
  <si>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</si>
  <si>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</si>
  <si>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</si>
  <si>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</si>
  <si>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</si>
  <si>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</si>
  <si>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</si>
  <si>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</si>
  <si>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</si>
  <si>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</si>
  <si>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</si>
  <si>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</si>
  <si>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</si>
  <si>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</si>
  <si>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</si>
  <si>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</si>
  <si>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</si>
  <si>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</si>
  <si>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</si>
  <si>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</si>
  <si>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</si>
  <si>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</si>
  <si>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</si>
  <si>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</si>
  <si>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</si>
  <si>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</si>
  <si>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</si>
  <si>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</si>
  <si>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</si>
  <si>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</si>
  <si>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</si>
  <si>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</si>
  <si>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</si>
  <si>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</si>
  <si>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</si>
  <si>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</si>
  <si>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</si>
  <si>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</si>
  <si>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</si>
  <si>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</si>
  <si>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</si>
  <si>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</si>
  <si>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</si>
  <si>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</si>
  <si>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</si>
  <si>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</si>
  <si>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</si>
  <si>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</si>
  <si>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</si>
  <si>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</si>
  <si>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</si>
  <si>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</si>
  <si>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</si>
  <si>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</si>
  <si>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</si>
  <si>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</si>
  <si>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</si>
  <si>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</si>
  <si>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</si>
  <si>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</si>
  <si>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</si>
  <si>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</si>
  <si>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</si>
  <si>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</si>
  <si>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</si>
  <si>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</si>
  <si>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</si>
  <si>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</si>
  <si>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</si>
  <si>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</si>
  <si>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</si>
  <si>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</si>
  <si>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</si>
  <si>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</si>
  <si>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</si>
  <si>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</si>
  <si>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</si>
  <si>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</si>
  <si>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</si>
  <si>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</si>
  <si>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</si>
  <si>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</si>
  <si>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</si>
  <si>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</si>
  <si>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</si>
  <si>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</si>
  <si>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</si>
  <si>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</si>
  <si>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</si>
  <si>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</si>
  <si>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</si>
  <si>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</si>
  <si>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</si>
  <si>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</si>
  <si>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</si>
  <si>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</si>
  <si>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</si>
  <si>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</si>
  <si>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</si>
  <si>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</si>
  <si>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</si>
  <si>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</si>
  <si>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</si>
  <si>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</si>
  <si>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</si>
  <si>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</si>
  <si>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</si>
  <si>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</si>
  <si>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</si>
  <si>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</si>
  <si>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</si>
  <si>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</si>
  <si>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</si>
  <si>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</si>
  <si>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</si>
  <si>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</si>
  <si>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</si>
  <si>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</si>
  <si>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</si>
  <si>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</si>
  <si>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</si>
  <si>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</si>
  <si>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</si>
  <si>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</si>
  <si>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</si>
  <si>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Brief Drafted</t>
  </si>
  <si>
    <t xml:space="preserve">[from customer-web-app F-002 brief, 2026-07-20] customer-web-app is drafting F-002 (Raw document upload, multipart binary): its Manage and Chat screens already have file-input UI that collects a file selection but only transmits the filename, never bytes — no multipart handler or dependency exists in cwa's bff/src, and cwa's PUT /api/topics/:id/knowledge is reference-only ({adds,deletes} string lists). F-002's own discovery scan checked this repo too: admin-console's PUT /api/workspaces/:id/knowledge is the identical reference-only shape, and the engine adapter's 28 methods include no byte-upload method — documents currently enter the engine via a mechanism outside BOTH BFF codebases. F-002's Problem section names this directly as an open question: 'What is the engine's actual upload interface?' This row tracks the admin-console/engine-side prerequisite — a genuine content-byte upload path (multipart intake + per-file size gate + forwarding to the engine) — that cwa's F-002 would need to forward to, whichever BFF(s) end up exposing it. Scope and ownership (does this belong here, in cwa, or in the engine itself) is an open question shared with F-002's brief; not yet resolved. Ready for /write-feature-brief.</t>
  </si>
  <si>
    <t xml:space="preserve">F-013</t>
  </si>
  <si>
    <t xml:space="preserve">Instance notice authoring (admin UI + admin.notice.* event emission) for customer-web-app display</t>
  </si>
  <si>
    <t xml:space="preserve">Idea</t>
  </si>
  <si>
    <t xml:space="preserve">[from customer-web-app F-003 brief, 2026-07-20, human ruling] Product-owner ruling: the correct author of customer-web-app (cwa) instance notices is the admin user working in admin-console, not cwa's own admin. cwa's F-003 (rewritten same session) becomes a pure event-consumer that projects admin-console-authored notice content into cwa's already-working reader surfaces (login banner, sidebar unread state, mobile notice list — all confirmed live). This row is the producer side F-003 depends on and does not build. Scope: (1) an admin-console data model + admin-gated authoring UI for instance notices (compose/publish/retire) — admin-console confirmed 2026-07-20 to have ZERO existing notice-related capability (no data model, API, UI, or event); (2) emit a new admin.notice.* event family (created/updated/retired, exact names TBD) over admin-console's existing F-004 production event relay, following the SAME pattern already proven by admin.user.* events (F-004 producer) consumed by cwa's F-005 (ingest endpoint, shared-secret auth, delivery-id dedupe, projection). cwa's F-003 open questions relevant here: whether the event carries full notice content inline or a reference (F-005's precedent may apply); whether admin.notice.retired should tombstone vs. hard-delete on the consumer side (bears on this event's semantics too); whether cwa's admin-user population even corresponds to admin-console's (bears on justifying this consolidation at all — RESEARCH should test). Sequencing: cwa's F-003 consumer can't function until this feature emits real events — a build dependency, not a deadline. Ready for /write-feature-brief.</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</si>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</sst>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17</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171</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268</v>
      </c>
      <c r="E21" s="22"/>
      <c r="F21" s="22"/>
      <c r="G21" s="25"/>
      <c r="H21" s="25"/>
      <c r="I21" s="25"/>
      <c r="J21" s="25"/>
      <c r="K21" s="25"/>
      <c r="L21" s="25"/>
      <c r="M21" s="25"/>
      <c r="N21" s="25"/>
      <c r="O21" s="27"/>
      <c r="P21" s="27" t="s">
        <v>269</v>
      </c>
      <c r="Q21" s="28" t="str">
        <f aca="false">IF(V21="Defect","",IF(COUNT(G21:K21)&lt;5,"",ROUND(G21*Config!$B$4+H21*Config!$B$5+I21*Config!$B$6+J21*Config!$B$7+K21*Config!$B$8,2)))</f>
        <v/>
      </c>
      <c r="R21" s="28" t="str">
        <f aca="false">IF(L21="","",VLOOKUP(L21,Config!$A$12:$B$21,2,0))</f>
        <v/>
      </c>
      <c r="S21" s="28" t="str">
        <f aca="false">IF(N21="","",VLOOKUP(N21,Config!$D$12:$E$21,2,0))</f>
        <v/>
      </c>
      <c r="T21" s="29" t="str">
        <f aca="false">IF(V21="Defect",IF(OR(X21="",G21="",R21=""),"",ROUND(MIN(100,VLOOKUP(X21,Config!$G$12:$H$16,2,0)*VLOOKUP(G21,Config!$I$12:$J$21,2,0)*R21),1)),IF(OR(Q21="",R21="",S21="",M21=""),"",ROUND(MIN(100,Q21*R21*S21/M21*20),1)))</f>
        <v/>
      </c>
      <c r="U21" s="30" t="str">
        <f aca="false">IF(T21="","",RANK(T21,$T$4:$T$52))</f>
        <v/>
      </c>
      <c r="V21" s="36" t="s">
        <v>175</v>
      </c>
    </row>
    <row r="22" customFormat="false" ht="14.25" hidden="false" customHeight="true" outlineLevel="0" collapsed="false">
      <c r="A22" s="22" t="s">
        <v>270</v>
      </c>
      <c r="B22" s="23" t="s">
        <v>271</v>
      </c>
      <c r="C22" s="22"/>
      <c r="D22" s="22" t="s">
        <v>272</v>
      </c>
      <c r="E22" s="22"/>
      <c r="F22" s="22"/>
      <c r="G22" s="25"/>
      <c r="H22" s="25"/>
      <c r="I22" s="25"/>
      <c r="J22" s="25"/>
      <c r="K22" s="25"/>
      <c r="L22" s="25"/>
      <c r="M22" s="25"/>
      <c r="N22" s="25"/>
      <c r="O22" s="27"/>
      <c r="P22" s="27" t="s">
        <v>273</v>
      </c>
      <c r="Q22" s="28" t="str">
        <f aca="false">IF(V22="Defect","",IF(COUNT(G22:K22)&lt;5,"",ROUND(G22*Config!$B$4+H22*Config!$B$5+I22*Config!$B$6+J22*Config!$B$7+K22*Config!$B$8,2)))</f>
        <v/>
      </c>
      <c r="R22" s="28" t="str">
        <f aca="false">IF(L22="","",VLOOKUP(L22,Config!$A$12:$B$21,2,0))</f>
        <v/>
      </c>
      <c r="S22" s="28" t="str">
        <f aca="false">IF(N22="","",VLOOKUP(N22,Config!$D$12:$E$21,2,0))</f>
        <v/>
      </c>
      <c r="T22" s="29" t="str">
        <f aca="false">IF(V22="Defect",IF(OR(X22="",G22="",R22=""),"",ROUND(MIN(100,VLOOKUP(X22,Config!$G$12:$H$16,2,0)*VLOOKUP(G22,Config!$I$12:$J$21,2,0)*R22),1)),IF(OR(Q22="",R22="",S22="",M22=""),"",ROUND(MIN(100,Q22*R22*S22/M22*20),1)))</f>
        <v/>
      </c>
      <c r="U22" s="30" t="str">
        <f aca="false">IF(T22="","",RANK(T22,$T$4:$T$52))</f>
        <v/>
      </c>
      <c r="V22" s="36" t="s">
        <v>175</v>
      </c>
    </row>
    <row r="23" customFormat="false" ht="14.25" hidden="false" customHeight="true" outlineLevel="0" collapsed="false">
      <c r="A23" s="22"/>
      <c r="B23" s="23"/>
      <c r="C23" s="22"/>
      <c r="D23" s="22"/>
      <c r="E23" s="22"/>
      <c r="F23" s="22"/>
      <c r="G23" s="25"/>
      <c r="H23" s="25"/>
      <c r="I23" s="25"/>
      <c r="J23" s="25"/>
      <c r="K23" s="25"/>
      <c r="L23" s="25"/>
      <c r="M23" s="25"/>
      <c r="N23" s="25"/>
      <c r="O23" s="27"/>
      <c r="P23" s="27"/>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274</v>
      </c>
    </row>
    <row r="3" customFormat="false" ht="14.25" hidden="false" customHeight="true" outlineLevel="0" collapsed="false">
      <c r="A3" s="37" t="s">
        <v>275</v>
      </c>
      <c r="B3" s="37" t="s">
        <v>276</v>
      </c>
      <c r="C3" s="37" t="s">
        <v>277</v>
      </c>
      <c r="D3" s="37" t="s">
        <v>278</v>
      </c>
      <c r="E3" s="37" t="s">
        <v>279</v>
      </c>
      <c r="F3" s="37" t="s">
        <v>280</v>
      </c>
    </row>
    <row r="4" customFormat="false" ht="14.25" hidden="false" customHeight="true" outlineLevel="0" collapsed="false">
      <c r="A4" s="18" t="s">
        <v>281</v>
      </c>
      <c r="B4" s="18" t="s">
        <v>282</v>
      </c>
      <c r="C4" s="18" t="s">
        <v>283</v>
      </c>
      <c r="D4" s="18" t="s">
        <v>284</v>
      </c>
      <c r="E4" s="18" t="s">
        <v>285</v>
      </c>
      <c r="F4" s="18" t="s">
        <v>286</v>
      </c>
    </row>
    <row r="5" customFormat="false" ht="14.25" hidden="false" customHeight="true" outlineLevel="0" collapsed="false">
      <c r="A5" s="18" t="s">
        <v>287</v>
      </c>
      <c r="B5" s="18" t="s">
        <v>288</v>
      </c>
      <c r="C5" s="18" t="s">
        <v>283</v>
      </c>
      <c r="D5" s="18" t="s">
        <v>289</v>
      </c>
      <c r="E5" s="18" t="s">
        <v>285</v>
      </c>
      <c r="F5" s="18" t="s">
        <v>290</v>
      </c>
    </row>
    <row r="6" customFormat="false" ht="26.25" hidden="false" customHeight="true" outlineLevel="0" collapsed="false">
      <c r="A6" s="18" t="s">
        <v>291</v>
      </c>
      <c r="B6" s="18" t="s">
        <v>292</v>
      </c>
      <c r="C6" s="18" t="s">
        <v>283</v>
      </c>
      <c r="D6" s="18" t="s">
        <v>293</v>
      </c>
      <c r="E6" s="18" t="s">
        <v>285</v>
      </c>
      <c r="F6" s="18" t="s">
        <v>294</v>
      </c>
    </row>
    <row r="7" customFormat="false" ht="27.75" hidden="false" customHeight="true" outlineLevel="0" collapsed="false">
      <c r="A7" s="18" t="s">
        <v>295</v>
      </c>
      <c r="B7" s="18" t="s">
        <v>296</v>
      </c>
      <c r="C7" s="18" t="s">
        <v>297</v>
      </c>
      <c r="D7" s="18" t="s">
        <v>298</v>
      </c>
      <c r="E7" s="18" t="s">
        <v>299</v>
      </c>
      <c r="F7" s="18" t="s">
        <v>300</v>
      </c>
    </row>
    <row r="8" customFormat="false" ht="14.25" hidden="false" customHeight="true" outlineLevel="0" collapsed="false">
      <c r="A8" s="18" t="s">
        <v>301</v>
      </c>
      <c r="B8" s="18" t="s">
        <v>302</v>
      </c>
      <c r="C8" s="18" t="s">
        <v>297</v>
      </c>
      <c r="D8" s="18" t="s">
        <v>303</v>
      </c>
      <c r="E8" s="18" t="s">
        <v>304</v>
      </c>
      <c r="F8" s="18" t="s">
        <v>305</v>
      </c>
    </row>
    <row r="9" customFormat="false" ht="14.25" hidden="false" customHeight="true" outlineLevel="0" collapsed="false">
      <c r="A9" s="18" t="s">
        <v>306</v>
      </c>
      <c r="B9" s="18" t="s">
        <v>307</v>
      </c>
      <c r="C9" s="18" t="s">
        <v>308</v>
      </c>
      <c r="D9" s="18" t="s">
        <v>309</v>
      </c>
      <c r="E9" s="18" t="s">
        <v>304</v>
      </c>
      <c r="F9" s="18" t="s">
        <v>310</v>
      </c>
    </row>
    <row r="10" customFormat="false" ht="26.25" hidden="false" customHeight="true" outlineLevel="0" collapsed="false">
      <c r="A10" s="18" t="s">
        <v>311</v>
      </c>
      <c r="B10" s="18" t="s">
        <v>312</v>
      </c>
      <c r="C10" s="18" t="s">
        <v>313</v>
      </c>
      <c r="D10" s="18" t="s">
        <v>314</v>
      </c>
      <c r="E10" s="18" t="s">
        <v>315</v>
      </c>
      <c r="F10" s="18" t="s">
        <v>316</v>
      </c>
    </row>
    <row r="11" customFormat="false" ht="14.25" hidden="false" customHeight="true" outlineLevel="0" collapsed="false">
      <c r="A11" s="18" t="s">
        <v>317</v>
      </c>
      <c r="B11" s="18" t="s">
        <v>318</v>
      </c>
      <c r="C11" s="18" t="s">
        <v>313</v>
      </c>
      <c r="D11" s="18" t="s">
        <v>314</v>
      </c>
      <c r="E11" s="18" t="s">
        <v>315</v>
      </c>
      <c r="F11" s="18" t="s">
        <v>319</v>
      </c>
    </row>
    <row r="12" customFormat="false" ht="14.25" hidden="false" customHeight="true" outlineLevel="0" collapsed="false">
      <c r="A12" s="18" t="s">
        <v>320</v>
      </c>
      <c r="B12" s="18" t="s">
        <v>321</v>
      </c>
      <c r="C12" s="18" t="s">
        <v>313</v>
      </c>
      <c r="D12" s="18" t="s">
        <v>314</v>
      </c>
      <c r="E12" s="18" t="s">
        <v>315</v>
      </c>
      <c r="F12" s="18" t="s">
        <v>322</v>
      </c>
    </row>
    <row r="13" customFormat="false" ht="26.25" hidden="false" customHeight="true" outlineLevel="0" collapsed="false">
      <c r="A13" s="18" t="s">
        <v>323</v>
      </c>
      <c r="B13" s="18" t="s">
        <v>324</v>
      </c>
      <c r="C13" s="18" t="s">
        <v>313</v>
      </c>
      <c r="D13" s="18" t="s">
        <v>314</v>
      </c>
      <c r="E13" s="18" t="s">
        <v>285</v>
      </c>
      <c r="F13" s="18" t="s">
        <v>325</v>
      </c>
    </row>
    <row r="14" customFormat="false" ht="14.25" hidden="false" customHeight="true" outlineLevel="0" collapsed="false">
      <c r="A14" s="18" t="s">
        <v>326</v>
      </c>
      <c r="B14" s="18" t="s">
        <v>327</v>
      </c>
      <c r="C14" s="18" t="s">
        <v>313</v>
      </c>
      <c r="D14" s="18" t="s">
        <v>314</v>
      </c>
      <c r="E14" s="18" t="s">
        <v>315</v>
      </c>
      <c r="F14" s="18" t="s">
        <v>328</v>
      </c>
    </row>
    <row r="15" customFormat="false" ht="39" hidden="false" customHeight="true" outlineLevel="0" collapsed="false">
      <c r="A15" s="18" t="s">
        <v>329</v>
      </c>
      <c r="B15" s="18" t="s">
        <v>330</v>
      </c>
      <c r="C15" s="18" t="s">
        <v>313</v>
      </c>
      <c r="D15" s="18" t="s">
        <v>314</v>
      </c>
      <c r="E15" s="18" t="s">
        <v>304</v>
      </c>
      <c r="F15" s="18" t="s">
        <v>331</v>
      </c>
    </row>
    <row r="16" customFormat="false" ht="26.25" hidden="false" customHeight="true" outlineLevel="0" collapsed="false">
      <c r="A16" s="18" t="s">
        <v>332</v>
      </c>
      <c r="B16" s="18" t="s">
        <v>333</v>
      </c>
      <c r="C16" s="18" t="s">
        <v>313</v>
      </c>
      <c r="D16" s="18" t="s">
        <v>314</v>
      </c>
      <c r="E16" s="18" t="s">
        <v>334</v>
      </c>
      <c r="F16" s="18" t="s">
        <v>335</v>
      </c>
    </row>
    <row r="17" customFormat="false" ht="26.25" hidden="false" customHeight="true" outlineLevel="0" collapsed="false">
      <c r="A17" s="18" t="s">
        <v>336</v>
      </c>
      <c r="B17" s="18" t="s">
        <v>337</v>
      </c>
      <c r="C17" s="18" t="s">
        <v>313</v>
      </c>
      <c r="D17" s="18" t="s">
        <v>314</v>
      </c>
      <c r="E17" s="18" t="s">
        <v>285</v>
      </c>
      <c r="F17" s="18" t="s">
        <v>338</v>
      </c>
    </row>
    <row r="18" customFormat="false" ht="27.75" hidden="false" customHeight="true" outlineLevel="0" collapsed="false">
      <c r="A18" s="18" t="s">
        <v>339</v>
      </c>
      <c r="B18" s="18" t="s">
        <v>340</v>
      </c>
      <c r="C18" s="18" t="s">
        <v>283</v>
      </c>
      <c r="D18" s="18" t="s">
        <v>341</v>
      </c>
      <c r="E18" s="18" t="s">
        <v>304</v>
      </c>
      <c r="F18" s="18" t="s">
        <v>342</v>
      </c>
    </row>
    <row r="19" customFormat="false" ht="14.25" hidden="false" customHeight="true" outlineLevel="0" collapsed="false">
      <c r="A19" s="18" t="s">
        <v>343</v>
      </c>
      <c r="B19" s="18" t="s">
        <v>344</v>
      </c>
      <c r="C19" s="18" t="s">
        <v>283</v>
      </c>
      <c r="D19" s="18" t="s">
        <v>289</v>
      </c>
      <c r="E19" s="18" t="s">
        <v>304</v>
      </c>
      <c r="F19" s="18" t="s">
        <v>345</v>
      </c>
    </row>
    <row r="20" customFormat="false" ht="26.25" hidden="false" customHeight="true" outlineLevel="0" collapsed="false">
      <c r="A20" s="18" t="s">
        <v>346</v>
      </c>
      <c r="B20" s="18" t="s">
        <v>347</v>
      </c>
      <c r="C20" s="18" t="s">
        <v>348</v>
      </c>
      <c r="D20" s="18" t="s">
        <v>349</v>
      </c>
      <c r="E20" s="18" t="s">
        <v>350</v>
      </c>
      <c r="F20" s="18" t="s">
        <v>351</v>
      </c>
    </row>
    <row r="21" customFormat="false" ht="14.25" hidden="false" customHeight="true" outlineLevel="0" collapsed="false">
      <c r="A21" s="18" t="s">
        <v>352</v>
      </c>
      <c r="B21" s="18" t="s">
        <v>353</v>
      </c>
      <c r="C21" s="18" t="s">
        <v>348</v>
      </c>
      <c r="D21" s="18" t="s">
        <v>354</v>
      </c>
      <c r="E21" s="18" t="s">
        <v>350</v>
      </c>
      <c r="F21" s="18" t="s">
        <v>355</v>
      </c>
    </row>
    <row r="22" customFormat="false" ht="14.25" hidden="false" customHeight="true" outlineLevel="0" collapsed="false">
      <c r="A22" s="18" t="s">
        <v>356</v>
      </c>
      <c r="B22" s="18" t="s">
        <v>357</v>
      </c>
      <c r="C22" s="18" t="s">
        <v>348</v>
      </c>
      <c r="D22" s="18" t="s">
        <v>358</v>
      </c>
      <c r="E22" s="18" t="s">
        <v>350</v>
      </c>
      <c r="F22" s="18" t="s">
        <v>359</v>
      </c>
    </row>
    <row r="23" customFormat="false" ht="51.75" hidden="false" customHeight="true" outlineLevel="0" collapsed="false">
      <c r="A23" s="18" t="s">
        <v>360</v>
      </c>
      <c r="B23" s="18" t="s">
        <v>361</v>
      </c>
      <c r="C23" s="18" t="s">
        <v>348</v>
      </c>
      <c r="D23" s="18" t="s">
        <v>362</v>
      </c>
      <c r="E23" s="18" t="s">
        <v>350</v>
      </c>
      <c r="F23" s="18" t="s">
        <v>363</v>
      </c>
    </row>
    <row r="24" customFormat="false" ht="14.25" hidden="false" customHeight="true" outlineLevel="0" collapsed="false">
      <c r="A24" s="18" t="s">
        <v>364</v>
      </c>
      <c r="B24" s="18" t="s">
        <v>365</v>
      </c>
      <c r="C24" s="18" t="s">
        <v>348</v>
      </c>
      <c r="D24" s="18" t="s">
        <v>366</v>
      </c>
      <c r="E24" s="18" t="s">
        <v>350</v>
      </c>
      <c r="F24" s="18" t="s">
        <v>367</v>
      </c>
    </row>
    <row r="25" customFormat="false" ht="39" hidden="false" customHeight="true" outlineLevel="0" collapsed="false">
      <c r="A25" s="18" t="s">
        <v>368</v>
      </c>
      <c r="B25" s="18" t="s">
        <v>369</v>
      </c>
      <c r="C25" s="18" t="s">
        <v>297</v>
      </c>
      <c r="D25" s="18" t="s">
        <v>370</v>
      </c>
      <c r="E25" s="18" t="s">
        <v>285</v>
      </c>
      <c r="F25" s="18" t="s">
        <v>371</v>
      </c>
    </row>
    <row r="26" customFormat="false" ht="26.25" hidden="false" customHeight="true" outlineLevel="0" collapsed="false">
      <c r="A26" s="18" t="s">
        <v>372</v>
      </c>
      <c r="B26" s="18" t="s">
        <v>373</v>
      </c>
      <c r="C26" s="18" t="s">
        <v>297</v>
      </c>
      <c r="D26" s="18" t="s">
        <v>374</v>
      </c>
      <c r="E26" s="18" t="s">
        <v>375</v>
      </c>
      <c r="F26" s="18" t="s">
        <v>376</v>
      </c>
    </row>
    <row r="27" customFormat="false" ht="51.75" hidden="false" customHeight="true" outlineLevel="0" collapsed="false">
      <c r="A27" s="18" t="s">
        <v>377</v>
      </c>
      <c r="B27" s="18" t="s">
        <v>378</v>
      </c>
      <c r="C27" s="18" t="s">
        <v>313</v>
      </c>
      <c r="D27" s="18" t="s">
        <v>379</v>
      </c>
      <c r="E27" s="18" t="s">
        <v>380</v>
      </c>
      <c r="F27" s="18"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2026-07-21T00:35:06Z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