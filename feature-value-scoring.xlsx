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d/yyyy"/>
    <numFmt numFmtId="165" formatCode="0.0"/>
    <numFmt numFmtId="166" formatCode="yyyy\-mm\-d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1"/>
    </font>
    <font>
      <name val="Arial"/>
      <charset val="1"/>
      <family val="0"/>
      <b val="1"/>
      <color rgb="FF1F3864"/>
      <sz val="11"/>
    </font>
    <font>
      <name val="Arial"/>
      <charset val="1"/>
      <family val="0"/>
      <b val="1"/>
      <color rgb="FF1F3864"/>
      <sz val="12"/>
    </font>
    <font>
      <name val="Arial"/>
      <charset val="1"/>
      <family val="0"/>
      <color rgb="FF0000FF"/>
      <sz val="11"/>
    </font>
    <font>
      <name val="Arial"/>
      <charset val="1"/>
      <family val="0"/>
      <i val="1"/>
      <sz val="11"/>
    </font>
    <font>
      <name val="Arial"/>
      <charset val="1"/>
      <family val="0"/>
      <color rgb="FF000000"/>
      <sz val="11"/>
    </font>
    <font>
      <name val="Arial"/>
      <charset val="1"/>
      <family val="0"/>
      <i val="1"/>
      <sz val="9"/>
    </font>
    <font>
      <name val="Arial"/>
      <charset val="1"/>
      <family val="0"/>
      <b val="1"/>
      <color rgb="FFFFFFFF"/>
      <sz val="11"/>
    </font>
    <font>
      <name val="Arial"/>
      <charset val="1"/>
      <family val="0"/>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0" fillId="0" borderId="0" applyAlignment="1" pivotButton="0" quotePrefix="0" xfId="0">
      <alignment horizontal="general" vertical="bottom"/>
    </xf>
    <xf numFmtId="0" fontId="12"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12"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filterMode="0">
    <outlinePr summaryBelow="1" summaryRight="1"/>
    <pageSetUpPr fitToPage="0"/>
  </sheetPr>
  <dimension ref="A1:A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
    </sheetView>
  </sheetViews>
  <sheetFormatPr baseColWidth="8" defaultColWidth="8.63671875" defaultRowHeight="14.25" customHeight="0" zeroHeight="0" outlineLevelRow="0"/>
  <cols>
    <col width="110" customWidth="1" style="38" min="1" max="1"/>
  </cols>
  <sheetData>
    <row r="1" ht="18" customHeight="1" s="39">
      <c r="A1" s="40" t="inlineStr">
        <is>
          <t>FEATURE VALUE SCORING FRAMEWORK</t>
        </is>
      </c>
    </row>
    <row r="2" ht="27.75" customHeight="1" s="39">
      <c r="A2" s="41"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s="39">
      <c r="A3" s="41" t="n"/>
    </row>
    <row r="4" ht="14.25" customHeight="1" s="39">
      <c r="A4" s="42" t="inlineStr">
        <is>
          <t>HOW TO USE</t>
        </is>
      </c>
    </row>
    <row r="5" ht="27.75" customHeight="1" s="39">
      <c r="A5" s="41" t="inlineStr">
        <is>
          <t>1. Add one row per feature idea on the Scoring sheet. Feature ID and Name are required; link the feature brief in the Brief Reference column.</t>
        </is>
      </c>
    </row>
    <row r="6" ht="27.75" customHeight="1" s="39">
      <c r="A6" s="41"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s="39">
      <c r="A7" s="41" t="inlineStr">
        <is>
          <t>3. Record evidence sources and rationale (columns O-P). Agents must cite sources; humans should note the basis for judgment calls.</t>
        </is>
      </c>
    </row>
    <row r="8" ht="14.25" customHeight="1" s="39">
      <c r="A8" s="41" t="inlineStr">
        <is>
          <t>4. Columns Q-U calculate automatically. Do not type into them.</t>
        </is>
      </c>
    </row>
    <row r="9" ht="27.75" customHeight="1" s="39">
      <c r="A9" s="41" t="inlineStr">
        <is>
          <t>5. Adjust dimension weights on the Config sheet to match product strategy. Weights must sum to 100% (checked in Config!B9).</t>
        </is>
      </c>
    </row>
    <row r="10" ht="14.25" customHeight="1" s="39">
      <c r="A10" s="41" t="n"/>
    </row>
    <row r="11" ht="14.25" customHeight="1" s="39">
      <c r="A11" s="42" t="inlineStr">
        <is>
          <t>SCORING MODEL</t>
        </is>
      </c>
    </row>
    <row r="12" ht="27.75" customHeight="1" s="39">
      <c r="A12" s="41" t="inlineStr">
        <is>
          <t>Weighted Value = SUM(dimension score x weight) across Reach, User Value, Business Value, Strategic Alignment, Time Sensitivity.</t>
        </is>
      </c>
    </row>
    <row r="13" ht="14.25" customHeight="1" s="39">
      <c r="A13" s="41" t="inlineStr">
        <is>
          <t>Priority Score (0-100) = MIN(100, Weighted Value x Confidence Multiplier x Risk Factor / Effort x 20). The cap only binds for very low effort (1 = hours-to-a-day on the 10-pt scale).</t>
        </is>
      </c>
    </row>
    <row r="14" ht="27.75" customHeight="1" s="39">
      <c r="A14" s="41" t="inlineStr">
        <is>
          <t>Confidence and Risk map to multipliers via lookup tables on the Config sheet, so a low-confidence or high-risk idea is discounted rather than excluded.</t>
        </is>
      </c>
    </row>
    <row r="15" ht="14.25" customHeight="1" s="39">
      <c r="A15" s="41" t="n"/>
    </row>
    <row r="16" ht="14.25" customHeight="1" s="39">
      <c r="A16" s="42" t="inlineStr">
        <is>
          <t>FOR AGENTS (machine-readable contract)</t>
        </is>
      </c>
    </row>
    <row r="17" ht="27.75" customHeight="1" s="39">
      <c r="A17" s="41" t="inlineStr">
        <is>
          <t>The Data Dictionary sheet defines every field: stable field_id, type, allowed values, and which actor (human / research agent / formula) owns it.</t>
        </is>
      </c>
    </row>
    <row r="18" ht="27.75" customHeight="1" s="39">
      <c r="A18" s="41" t="inlineStr">
        <is>
          <t>Market research agents fill only INPUT fields and must populate evidence_sources. Prioritization agents read OUTPUT fields and must not overwrite formulas.</t>
        </is>
      </c>
    </row>
    <row r="19" ht="14.25" customHeight="1" s="39">
      <c r="A19" s="41" t="inlineStr">
        <is>
          <t>Rows 4-7 of the Scoring sheet contain worked Feature examples; row 8 is a worked Defect example. Clear or overwrite them with real data.</t>
        </is>
      </c>
    </row>
    <row r="21" ht="14.25" customHeight="1" s="39">
      <c r="A21" s="42" t="inlineStr">
        <is>
          <t>DEFECTS &amp; BUGS</t>
        </is>
      </c>
    </row>
    <row r="22" ht="26.25" customHeight="1" s="39">
      <c r="A22" s="41" t="inlineStr">
        <is>
          <t>1. Log a defect or bug as its own row on the Scoring sheet: Item Type (column V) = Defect, Defect Source (W) = Customer-Reported or Internal, Severity (X, still 1-5, see Rubric) instead of the eight feature dimensions.</t>
        </is>
      </c>
    </row>
    <row r="23" ht="26.25" customHeight="1" s="39">
      <c r="A23" s="41"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s="39">
      <c r="A24" s="41" t="inlineStr">
        <is>
          <t>3. Reach (G) and Confidence (L) are still scored for defects using the same Rubric anchors, reinterpreted: Reach = share of customers who hit the bug; Confidence = strength of the repro/evidence behind Severity and Reach.</t>
        </is>
      </c>
    </row>
    <row r="25" ht="14.25" customHeight="1" s="39">
      <c r="A25" s="41" t="inlineStr">
        <is>
          <t>4. Effort (M) and Risk (N) are optional for Defect rows - useful for fix-effort and regression-risk planning, but not part of the Defect priority formula.</t>
        </is>
      </c>
    </row>
    <row r="26" ht="14.25" customHeight="1" s="39">
      <c r="A26" s="41" t="inlineStr">
        <is>
          <t>5. Status lifecycle differs by Item Type - see the Data Dictionary Status row for the full enum and which subset applies to Feature vs Defect rows.</t>
        </is>
      </c>
    </row>
    <row r="27" ht="26.25" customHeight="1" s="39">
      <c r="A27" s="41" t="inlineStr">
        <is>
          <t>6. Once a Defect row is Scored or Prioritized, run /fix-defect-or-bug &lt;feature_id&gt; to dispatch the fix pipeline (reproduce, fail a regression test, fix, verify, review).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63671875" defaultRowHeight="14.25" customHeight="0" zeroHeight="0" outlineLevelRow="0"/>
  <cols>
    <col width="34" customWidth="1" style="38" min="1" max="1"/>
    <col width="12" customWidth="1" style="38" min="2" max="2"/>
    <col width="4" customWidth="1" style="38" min="3" max="3"/>
    <col width="14" customWidth="1" style="38" min="4" max="4"/>
    <col width="12" customWidth="1" style="38" min="5" max="5"/>
  </cols>
  <sheetData>
    <row r="1" ht="15" customHeight="1" s="39">
      <c r="A1" s="43" t="inlineStr">
        <is>
          <t>CONFIGURATION - dimension weights and multiplier maps</t>
        </is>
      </c>
    </row>
    <row r="3" ht="14.25" customHeight="1" s="39">
      <c r="A3" s="44" t="inlineStr">
        <is>
          <t>Value Dimension Weights (must sum to 100%)</t>
        </is>
      </c>
      <c r="B3" s="45" t="n"/>
    </row>
    <row r="4" ht="14.25" customHeight="1" s="39">
      <c r="A4" s="46" t="inlineStr">
        <is>
          <t>Reach</t>
        </is>
      </c>
      <c r="B4" s="47" t="n">
        <v>0.2</v>
      </c>
    </row>
    <row r="5" ht="14.25" customHeight="1" s="39">
      <c r="A5" s="46" t="inlineStr">
        <is>
          <t>User Value</t>
        </is>
      </c>
      <c r="B5" s="47" t="n">
        <v>0.25</v>
      </c>
    </row>
    <row r="6" ht="14.25" customHeight="1" s="39">
      <c r="A6" s="46" t="inlineStr">
        <is>
          <t>Business Value</t>
        </is>
      </c>
      <c r="B6" s="47" t="n">
        <v>0.25</v>
      </c>
    </row>
    <row r="7" ht="14.25" customHeight="1" s="39">
      <c r="A7" s="46" t="inlineStr">
        <is>
          <t>Strategic Alignment</t>
        </is>
      </c>
      <c r="B7" s="47" t="n">
        <v>0.2</v>
      </c>
    </row>
    <row r="8" ht="14.25" customHeight="1" s="39">
      <c r="A8" s="46" t="inlineStr">
        <is>
          <t>Time Sensitivity</t>
        </is>
      </c>
      <c r="B8" s="47" t="n">
        <v>0.1</v>
      </c>
    </row>
    <row r="9" ht="14.25" customHeight="1" s="39">
      <c r="A9" s="48" t="inlineStr">
        <is>
          <t>Weight check</t>
        </is>
      </c>
      <c r="B9" s="49">
        <f>IF(SUM(B4:B8)=1,"OK","ERROR: weights must sum to 100%")</f>
        <v/>
      </c>
    </row>
    <row r="11" ht="14.25" customHeight="1" s="39">
      <c r="A11" s="44" t="inlineStr">
        <is>
          <t>Confidence Multiplier Map</t>
        </is>
      </c>
      <c r="B11" s="45" t="n"/>
      <c r="D11" s="44" t="inlineStr">
        <is>
          <t>Risk Factor Map</t>
        </is>
      </c>
      <c r="E11" s="45" t="n"/>
      <c r="G11" s="44" t="inlineStr">
        <is>
          <t>Defect Severity -&gt; Priority Base Map</t>
        </is>
      </c>
      <c r="I11" s="44" t="inlineStr">
        <is>
          <t>Defect Reach -&gt; Multiplier Map</t>
        </is>
      </c>
    </row>
    <row r="12" ht="14.25" customHeight="1" s="39">
      <c r="A12" s="50" t="n">
        <v>1</v>
      </c>
      <c r="B12" s="51" t="n">
        <v>0.45</v>
      </c>
      <c r="D12" s="50" t="n">
        <v>1</v>
      </c>
      <c r="E12" s="51" t="n">
        <v>1</v>
      </c>
      <c r="G12" s="50" t="n">
        <v>1</v>
      </c>
      <c r="H12" s="52" t="n">
        <v>10</v>
      </c>
      <c r="I12" s="50" t="n">
        <v>1</v>
      </c>
      <c r="J12" s="51" t="n">
        <v>0.75</v>
      </c>
    </row>
    <row r="13" ht="14.25" customHeight="1" s="39">
      <c r="A13" s="50" t="n">
        <v>2</v>
      </c>
      <c r="B13" s="51" t="n">
        <v>0.5</v>
      </c>
      <c r="D13" s="50" t="n">
        <v>2</v>
      </c>
      <c r="E13" s="51" t="n">
        <v>1</v>
      </c>
      <c r="G13" s="50" t="n">
        <v>2</v>
      </c>
      <c r="H13" s="52" t="n">
        <v>30</v>
      </c>
      <c r="I13" s="50" t="n">
        <v>2</v>
      </c>
      <c r="J13" s="51" t="n">
        <v>0.8</v>
      </c>
    </row>
    <row r="14" ht="14.25" customHeight="1" s="39">
      <c r="A14" s="50" t="n">
        <v>3</v>
      </c>
      <c r="B14" s="51" t="n">
        <v>0.58</v>
      </c>
      <c r="D14" s="50" t="n">
        <v>3</v>
      </c>
      <c r="E14" s="51" t="n">
        <v>0.95</v>
      </c>
      <c r="G14" s="50" t="n">
        <v>3</v>
      </c>
      <c r="H14" s="52" t="n">
        <v>55</v>
      </c>
      <c r="I14" s="50" t="n">
        <v>3</v>
      </c>
      <c r="J14" s="51" t="n">
        <v>0.85</v>
      </c>
    </row>
    <row r="15" ht="14.25" customHeight="1" s="39">
      <c r="A15" s="50" t="n">
        <v>4</v>
      </c>
      <c r="B15" s="51" t="n">
        <v>0.65</v>
      </c>
      <c r="D15" s="50" t="n">
        <v>4</v>
      </c>
      <c r="E15" s="51" t="n">
        <v>0.9</v>
      </c>
      <c r="G15" s="50" t="n">
        <v>4</v>
      </c>
      <c r="H15" s="52" t="n">
        <v>80</v>
      </c>
      <c r="I15" s="50" t="n">
        <v>4</v>
      </c>
      <c r="J15" s="51" t="n">
        <v>0.9</v>
      </c>
    </row>
    <row r="16" ht="14.25" customHeight="1" s="39">
      <c r="A16" s="50" t="n">
        <v>5</v>
      </c>
      <c r="B16" s="51" t="n">
        <v>0.73</v>
      </c>
      <c r="D16" s="50" t="n">
        <v>5</v>
      </c>
      <c r="E16" s="51" t="n">
        <v>0.85</v>
      </c>
      <c r="G16" s="50" t="n">
        <v>5</v>
      </c>
      <c r="H16" s="52" t="n">
        <v>100</v>
      </c>
      <c r="I16" s="50" t="n">
        <v>5</v>
      </c>
      <c r="J16" s="51" t="n">
        <v>0.95</v>
      </c>
    </row>
    <row r="17" ht="14.25" customHeight="1" s="39">
      <c r="A17" s="50" t="n">
        <v>6</v>
      </c>
      <c r="B17" s="51" t="n">
        <v>0.8</v>
      </c>
      <c r="D17" s="50" t="n">
        <v>6</v>
      </c>
      <c r="E17" s="51" t="n">
        <v>0.8</v>
      </c>
      <c r="I17" s="50" t="n">
        <v>6</v>
      </c>
      <c r="J17" s="51" t="n">
        <v>1</v>
      </c>
    </row>
    <row r="18" ht="14.25" customHeight="1" s="39">
      <c r="A18" s="50" t="n">
        <v>7</v>
      </c>
      <c r="B18" s="51" t="n">
        <v>0.85</v>
      </c>
      <c r="D18" s="50" t="n">
        <v>7</v>
      </c>
      <c r="E18" s="51" t="n">
        <v>0.75</v>
      </c>
      <c r="I18" s="50" t="n">
        <v>7</v>
      </c>
      <c r="J18" s="51" t="n">
        <v>1.05</v>
      </c>
    </row>
    <row r="19" ht="14.25" customHeight="1" s="39">
      <c r="A19" s="50" t="n">
        <v>8</v>
      </c>
      <c r="B19" s="51" t="n">
        <v>0.9</v>
      </c>
      <c r="D19" s="50" t="n">
        <v>8</v>
      </c>
      <c r="E19" s="51" t="n">
        <v>0.7</v>
      </c>
      <c r="I19" s="50" t="n">
        <v>8</v>
      </c>
      <c r="J19" s="51" t="n">
        <v>1.1</v>
      </c>
    </row>
    <row r="20" ht="14.25" customHeight="1" s="39">
      <c r="A20" s="50" t="n">
        <v>9</v>
      </c>
      <c r="B20" s="51" t="n">
        <v>0.95</v>
      </c>
      <c r="D20" s="50" t="n">
        <v>9</v>
      </c>
      <c r="E20" s="51" t="n">
        <v>0.65</v>
      </c>
      <c r="I20" s="50" t="n">
        <v>9</v>
      </c>
      <c r="J20" s="51" t="n">
        <v>1.15</v>
      </c>
    </row>
    <row r="21" ht="14.25" customHeight="1" s="39">
      <c r="A21" s="50" t="n">
        <v>10</v>
      </c>
      <c r="B21" s="51" t="n">
        <v>1</v>
      </c>
      <c r="D21" s="50" t="n">
        <v>10</v>
      </c>
      <c r="E21" s="51" t="n">
        <v>0.6</v>
      </c>
      <c r="I21" s="50" t="n">
        <v>10</v>
      </c>
      <c r="J21" s="51" t="n">
        <v>1.2</v>
      </c>
    </row>
    <row r="22" ht="14.25" customHeight="1" s="39">
      <c r="A22" s="53" t="n"/>
    </row>
    <row r="23" ht="14.25" customHeight="1" s="39">
      <c r="A23" s="53" t="inlineStr">
        <is>
          <t>Confidence score (1-10) -&gt; multiplier applied to Weighted Value (RICE-style discount for weak evidence). Even keys carry the pre-2026-07 5-pt map values (old score x2 = same multiplier).</t>
        </is>
      </c>
    </row>
    <row r="24" ht="14.25" customHeight="1" s="39">
      <c r="A24" s="53" t="inlineStr">
        <is>
          <t>Risk score (1-10) -&gt; factor applied to Weighted Value (higher risk = larger discount). Even keys carry the pre-2026-07 5-pt map values.</t>
        </is>
      </c>
    </row>
    <row r="25" ht="14.25" customHeight="1" s="39">
      <c r="A25" s="53" t="n"/>
    </row>
    <row r="26" ht="14.25" customHeight="1" s="39">
      <c r="A26" s="53" t="inlineStr">
        <is>
          <t>Defect severity (still 1-5; industry Sev alignment) -&gt; base priority-score map (severity fast-track model; bypasses weighted_value, strategic_alignment, and effort entirely).</t>
        </is>
      </c>
    </row>
    <row r="27" ht="14.25" customHeight="1" s="39">
      <c r="A27" s="53" t="inlineStr">
        <is>
          <t>Defect reach (1-10) -&gt; small multiplier (customer breadth is secondary to severity in the fast-track model, unlike the Feature formula where it's a primary weighted dimension).</t>
        </is>
      </c>
    </row>
    <row r="28" ht="14.25" customHeight="1" s="39">
      <c r="A28" s="53" t="inlineStr">
        <is>
          <t>defect_priority_score = MIN(100, ROUND(severity_base x reach_factor x confidence_mult, 1)). confidence_mult is the same lookup used by the Feature formula (Confidence Multiplier Map above).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
    </sheetView>
  </sheetViews>
  <sheetFormatPr baseColWidth="8" defaultColWidth="8.63671875" defaultRowHeight="14.25" customHeight="0" zeroHeight="0" outlineLevelRow="0"/>
  <cols>
    <col width="22" customWidth="1" style="38" min="1" max="1"/>
    <col width="34" customWidth="1" style="38" min="2" max="6"/>
  </cols>
  <sheetData>
    <row r="1" ht="15" customHeight="1" s="39">
      <c r="A1" s="43" t="inlineStr">
        <is>
          <t>SCORING RUBRIC - anchors for each 1-10 dimension (even scores = the pre-2026-07 5-pt anchors; Severity stays 1-5)</t>
        </is>
      </c>
    </row>
    <row r="2" ht="14.25" customHeight="1" s="39">
      <c r="B2" s="38" t="inlineStr">
        <is>
          <t>1</t>
        </is>
      </c>
      <c r="C2" s="38" t="inlineStr">
        <is>
          <t>2</t>
        </is>
      </c>
      <c r="D2" s="38" t="inlineStr">
        <is>
          <t>3</t>
        </is>
      </c>
      <c r="E2" s="38" t="inlineStr">
        <is>
          <t>4</t>
        </is>
      </c>
      <c r="F2" s="38" t="inlineStr">
        <is>
          <t>5</t>
        </is>
      </c>
      <c r="G2" s="38" t="inlineStr">
        <is>
          <t>6</t>
        </is>
      </c>
      <c r="H2" s="38" t="inlineStr">
        <is>
          <t>7</t>
        </is>
      </c>
      <c r="I2" s="38" t="inlineStr">
        <is>
          <t>8</t>
        </is>
      </c>
      <c r="J2" s="38" t="inlineStr">
        <is>
          <t>9</t>
        </is>
      </c>
      <c r="K2" s="38" t="inlineStr">
        <is>
          <t>10</t>
        </is>
      </c>
    </row>
    <row r="3" ht="14.25" customHeight="1" s="39">
      <c r="A3" s="54" t="inlineStr">
        <is>
          <t>Dimension</t>
        </is>
      </c>
      <c r="B3" s="54" t="inlineStr">
        <is>
          <t>1</t>
        </is>
      </c>
      <c r="C3" s="54" t="inlineStr">
        <is>
          <t>2</t>
        </is>
      </c>
      <c r="D3" s="54" t="inlineStr">
        <is>
          <t>3</t>
        </is>
      </c>
      <c r="E3" s="54" t="inlineStr">
        <is>
          <t>4</t>
        </is>
      </c>
      <c r="F3" s="54" t="inlineStr">
        <is>
          <t>5</t>
        </is>
      </c>
    </row>
    <row r="4" ht="43.5" customHeight="1" s="39">
      <c r="A4" s="55" t="inlineStr">
        <is>
          <t>Reach</t>
        </is>
      </c>
      <c r="B4" s="56" t="inlineStr">
        <is>
          <t>Touches &lt;3% of target users; rare edge case</t>
        </is>
      </c>
      <c r="C4" s="56" t="inlineStr">
        <is>
          <t>Touches &lt;5% of target users or a rare edge case</t>
        </is>
      </c>
      <c r="D4" s="56" t="inlineStr">
        <is>
          <t>Touches 5-10% of users, infrequent use</t>
        </is>
      </c>
      <c r="E4" s="56" t="inlineStr">
        <is>
          <t>Touches 5-15% of users, or infrequent use</t>
        </is>
      </c>
      <c r="F4" s="56" t="inlineStr">
        <is>
          <t>Touches 15-25% of users with regular use</t>
        </is>
      </c>
      <c r="G4" s="56" t="inlineStr">
        <is>
          <t>Touches 15-40% of users with regular use</t>
        </is>
      </c>
      <c r="H4" s="56" t="inlineStr">
        <is>
          <t>Touches 40-55% of users frequently</t>
        </is>
      </c>
      <c r="I4" s="56" t="inlineStr">
        <is>
          <t>Touches 40-70% of users frequently</t>
        </is>
      </c>
      <c r="J4" s="56" t="inlineStr">
        <is>
          <t>Touches 70-85% of users in daily workflows</t>
        </is>
      </c>
      <c r="K4" s="56" t="inlineStr">
        <is>
          <t>Touches &gt;70% of users in core daily workflows</t>
        </is>
      </c>
    </row>
    <row r="5" ht="43.5" customHeight="1" s="39">
      <c r="A5" s="55" t="inlineStr">
        <is>
          <t>User Value</t>
        </is>
      </c>
      <c r="B5" s="56" t="inlineStr">
        <is>
          <t>Purely cosmetic; no user would notice its absence</t>
        </is>
      </c>
      <c r="C5" s="56" t="inlineStr">
        <is>
          <t>Cosmetic; no measurable pain relieved</t>
        </is>
      </c>
      <c r="D5" s="56" t="inlineStr">
        <is>
          <t>Minor convenience; trivial workaround</t>
        </is>
      </c>
      <c r="E5" s="56" t="inlineStr">
        <is>
          <t>Minor convenience; mild pain, easy workaround exists</t>
        </is>
      </c>
      <c r="F5" s="56" t="inlineStr">
        <is>
          <t>Real pain, but the workaround is tolerable</t>
        </is>
      </c>
      <c r="G5" s="56" t="inlineStr">
        <is>
          <t>Solves a real pain with a clumsy workaround today</t>
        </is>
      </c>
      <c r="H5" s="56" t="inlineStr">
        <is>
          <t>Frequent pain; workaround is costly or error-prone</t>
        </is>
      </c>
      <c r="I5" s="56" t="inlineStr">
        <is>
          <t>Removes a frequent, significant pain point</t>
        </is>
      </c>
      <c r="J5" s="56" t="inlineStr">
        <is>
          <t>Near top-tier pain, or partially unlocks a new job-to-be-done</t>
        </is>
      </c>
      <c r="K5" s="56" t="inlineStr">
        <is>
          <t>Eliminates a top-3 user pain or unlocks a new job-to-be-done</t>
        </is>
      </c>
    </row>
    <row r="6" ht="43.5" customHeight="1" s="39">
      <c r="A6" s="55" t="inlineStr">
        <is>
          <t>Business Value</t>
        </is>
      </c>
      <c r="B6" s="56" t="inlineStr">
        <is>
          <t>No conceivable business effect</t>
        </is>
      </c>
      <c r="C6" s="56" t="inlineStr">
        <is>
          <t>No plausible revenue/retention/cost effect</t>
        </is>
      </c>
      <c r="D6" s="56" t="inlineStr">
        <is>
          <t>Marginal, hard-to-attribute effect</t>
        </is>
      </c>
      <c r="E6" s="56" t="inlineStr">
        <is>
          <t>Indirect or small effect on a business metric</t>
        </is>
      </c>
      <c r="F6" s="56" t="inlineStr">
        <is>
          <t>Measurable effect on a secondary metric</t>
        </is>
      </c>
      <c r="G6" s="56" t="inlineStr">
        <is>
          <t>Measurable effect on conversion, retention, or cost</t>
        </is>
      </c>
      <c r="H6" s="56" t="inlineStr">
        <is>
          <t>Clear contributor to a core business metric</t>
        </is>
      </c>
      <c r="I6" s="56" t="inlineStr">
        <is>
          <t>Clear driver of revenue, expansion, or churn reduction</t>
        </is>
      </c>
      <c r="J6" s="56" t="inlineStr">
        <is>
          <t>Materially shifts a top-line metric or defends key revenue</t>
        </is>
      </c>
      <c r="K6" s="56" t="inlineStr">
        <is>
          <t>Opens a new segment/market or defends a major revenue stream</t>
        </is>
      </c>
    </row>
    <row r="7" ht="43.5" customHeight="1" s="39">
      <c r="A7" s="55" t="inlineStr">
        <is>
          <t>Strategic Alignment</t>
        </is>
      </c>
      <c r="B7" s="56" t="inlineStr">
        <is>
          <t>Actively works against the product strategy</t>
        </is>
      </c>
      <c r="C7" s="56" t="inlineStr">
        <is>
          <t>Contradicts stated product strategy</t>
        </is>
      </c>
      <c r="D7" s="56" t="inlineStr">
        <is>
          <t>Orthogonal to strategy; slight tension</t>
        </is>
      </c>
      <c r="E7" s="56" t="inlineStr">
        <is>
          <t>Unrelated to strategy; opportunistic</t>
        </is>
      </c>
      <c r="F7" s="56" t="inlineStr">
        <is>
          <t>Tangentially related to a strategic theme</t>
        </is>
      </c>
      <c r="G7" s="56" t="inlineStr">
        <is>
          <t>Loosely supports a strategic theme</t>
        </is>
      </c>
      <c r="H7" s="56" t="inlineStr">
        <is>
          <t>Clearly supports a strategic theme</t>
        </is>
      </c>
      <c r="I7" s="56" t="inlineStr">
        <is>
          <t>Directly advances a current strategic pillar</t>
        </is>
      </c>
      <c r="J7" s="56" t="inlineStr">
        <is>
          <t>Key enabler of a strategic pillar</t>
        </is>
      </c>
      <c r="K7" s="56" t="inlineStr">
        <is>
          <t>Critical-path item for the product vision</t>
        </is>
      </c>
    </row>
    <row r="8" ht="43.5" customHeight="1" s="39">
      <c r="A8" s="55" t="inlineStr">
        <is>
          <t>Time Sensitivity</t>
        </is>
      </c>
      <c r="B8" s="56" t="inlineStr">
        <is>
          <t>No pressure; waiting costs nothing or value grows</t>
        </is>
      </c>
      <c r="C8" s="56" t="inlineStr">
        <is>
          <t>No time pressure; value stable indefinitely</t>
        </is>
      </c>
      <c r="D8" s="56" t="inlineStr">
        <is>
          <t>Value decays very slowly (multi-year horizon)</t>
        </is>
      </c>
      <c r="E8" s="56" t="inlineStr">
        <is>
          <t>Value decays slowly over years</t>
        </is>
      </c>
      <c r="F8" s="56" t="inlineStr">
        <is>
          <t>Advantage to shipping within ~18 months</t>
        </is>
      </c>
      <c r="G8" s="56" t="inlineStr">
        <is>
          <t>Meaningful advantage to shipping this year</t>
        </is>
      </c>
      <c r="H8" s="56" t="inlineStr">
        <is>
          <t>Competitive/market window within 3 quarters</t>
        </is>
      </c>
      <c r="I8" s="56" t="inlineStr">
        <is>
          <t>Competitive/market window within 2 quarters</t>
        </is>
      </c>
      <c r="J8" s="56" t="inlineStr">
        <is>
          <t>Window within 1 quarter</t>
        </is>
      </c>
      <c r="K8" s="56" t="inlineStr">
        <is>
          <t>Hard deadline (regulation, contract, event) or closing window</t>
        </is>
      </c>
    </row>
    <row r="9" ht="43.5" customHeight="1" s="39">
      <c r="A9" s="55" t="inlineStr">
        <is>
          <t>Confidence</t>
        </is>
      </c>
      <c r="B9" s="56" t="inlineStr">
        <is>
          <t>Guesswork; assumptions untested, no evidence sought</t>
        </is>
      </c>
      <c r="C9" s="56" t="inlineStr">
        <is>
          <t>Pure speculation; no supporting evidence</t>
        </is>
      </c>
      <c r="D9" s="56" t="inlineStr">
        <is>
          <t>A single anecdote</t>
        </is>
      </c>
      <c r="E9" s="56" t="inlineStr">
        <is>
          <t>Anecdotes or a single data point</t>
        </is>
      </c>
      <c r="F9" s="56" t="inlineStr">
        <is>
          <t>Multiple converging anecdotes; thin data</t>
        </is>
      </c>
      <c r="G9" s="56" t="inlineStr">
        <is>
          <t>Directional data: some interviews, analogous benchmarks</t>
        </is>
      </c>
      <c r="H9" s="56" t="inlineStr">
        <is>
          <t>Good data with known gaps</t>
        </is>
      </c>
      <c r="I9" s="56" t="inlineStr">
        <is>
          <t>Solid data: surveys, usage analytics, competitor evidence</t>
        </is>
      </c>
      <c r="J9" s="56" t="inlineStr">
        <is>
          <t>Strong multi-source data; small residual unknowns</t>
        </is>
      </c>
      <c r="K9" s="56" t="inlineStr">
        <is>
          <t>Validated: experiments, pilots, or committed customer demand</t>
        </is>
      </c>
    </row>
    <row r="10" ht="43.5" customHeight="1" s="39">
      <c r="A10" s="55" t="inlineStr">
        <is>
          <t>Effort</t>
        </is>
      </c>
      <c r="B10" s="56" t="inlineStr">
        <is>
          <t>Hours to a day; trivial change</t>
        </is>
      </c>
      <c r="C10" s="56" t="inlineStr">
        <is>
          <t>Days; single dev, no design or new infra</t>
        </is>
      </c>
      <c r="D10" s="56" t="inlineStr">
        <is>
          <t>About a week; single dev</t>
        </is>
      </c>
      <c r="E10" s="56" t="inlineStr">
        <is>
          <t>1-2 weeks; small change, minimal coordination</t>
        </is>
      </c>
      <c r="F10" s="56" t="inlineStr">
        <is>
          <t>2-3 weeks; light cross-discipline coordination</t>
        </is>
      </c>
      <c r="G10" s="56" t="inlineStr">
        <is>
          <t>3-6 weeks; multi-discipline, some unknowns</t>
        </is>
      </c>
      <c r="H10" s="56" t="inlineStr">
        <is>
          <t>6-10 weeks; significant unknowns</t>
        </is>
      </c>
      <c r="I10" s="56" t="inlineStr">
        <is>
          <t>1-2 quarters; significant architecture or integration work</t>
        </is>
      </c>
      <c r="J10" s="56" t="inlineStr">
        <is>
          <t>2-3 quarters; major cross-team program</t>
        </is>
      </c>
      <c r="K10" s="56" t="inlineStr">
        <is>
          <t>&gt;3 quarters; major platform work or new subsystem</t>
        </is>
      </c>
    </row>
    <row r="11" ht="43.5" customHeight="1" s="39">
      <c r="A11" s="55" t="inlineStr">
        <is>
          <t>Risk</t>
        </is>
      </c>
      <c r="B11" s="56" t="inlineStr">
        <is>
          <t>Fully understood; trivially reversible</t>
        </is>
      </c>
      <c r="C11" s="56" t="inlineStr">
        <is>
          <t>Well-understood; easily reversible</t>
        </is>
      </c>
      <c r="D11" s="56" t="inlineStr">
        <is>
          <t>Small unknowns; cheap to reverse</t>
        </is>
      </c>
      <c r="E11" s="56" t="inlineStr">
        <is>
          <t>Minor unknowns; reversible with modest cost</t>
        </is>
      </c>
      <c r="F11" s="56" t="inlineStr">
        <is>
          <t>Moderate unknowns or a soft third-party dependency</t>
        </is>
      </c>
      <c r="G11" s="56" t="inlineStr">
        <is>
          <t>Some technical/market unknowns or third-party dependency</t>
        </is>
      </c>
      <c r="H11" s="56" t="inlineStr">
        <is>
          <t>Multiple unknowns; reversal is painful</t>
        </is>
      </c>
      <c r="I11" s="56" t="inlineStr">
        <is>
          <t>Hard-to-reverse decision or fragile dependencies</t>
        </is>
      </c>
      <c r="J11" s="56" t="inlineStr">
        <is>
          <t>Effectively one-way without major cost</t>
        </is>
      </c>
      <c r="K11" s="56" t="inlineStr">
        <is>
          <t>One-way door: public API, data model, pricing, or compliance exposure</t>
        </is>
      </c>
    </row>
    <row r="12" ht="39" customHeight="1" s="39">
      <c r="A12" s="57" t="inlineStr">
        <is>
          <t>Severity (Defect rows only)</t>
        </is>
      </c>
      <c r="B12" s="41" t="inlineStr">
        <is>
          <t>Cosmetic; no functional impact, no workaround needed</t>
        </is>
      </c>
      <c r="C12" s="41" t="inlineStr">
        <is>
          <t>Minor; workaround exists, low friction (industry Sev4)</t>
        </is>
      </c>
      <c r="D12" s="41" t="inlineStr">
        <is>
          <t>Moderate; feature degraded or blocked with a workaround (industry Sev3)</t>
        </is>
      </c>
      <c r="E12" s="41" t="inlineStr">
        <is>
          <t>Major; feature unusable, no reasonable workaround, no data loss (industry Sev2)</t>
        </is>
      </c>
      <c r="F12" s="41" t="inlineStr">
        <is>
          <t>Critical; data loss, security exposure, or outage blocking core workflows (industry Sev1)</t>
        </is>
      </c>
      <c r="G12" s="41" t="inlineStr">
        <is>
          <t>Severity stays on a 1-5 scale (industry Sev4...Sev1 alignment); columns 6-10 do not apply.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52"/>
  <sheetViews>
    <sheetView showFormulas="0" showGridLines="1" showRowColHeaders="1" showZeros="1" rightToLeft="0" tabSelected="1" showOutlineSymbols="1" defaultGridColor="1"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baseColWidth="8" defaultColWidth="8.63671875" defaultRowHeight="14.25" customHeight="0" zeroHeight="0" outlineLevelRow="0"/>
  <cols>
    <col width="12" customWidth="1" style="38" min="1" max="1"/>
    <col width="44.64" customWidth="1" style="58" min="2" max="2"/>
    <col width="24" customWidth="1" style="38" min="3" max="3"/>
    <col width="14" customWidth="1" style="38" min="4" max="4"/>
    <col width="16" customWidth="1" style="38" min="5" max="5"/>
    <col width="12" customWidth="1" style="38" min="6" max="6"/>
    <col width="10" customWidth="1" style="38" min="7" max="8"/>
    <col width="12" customWidth="1" style="38" min="9" max="11"/>
    <col width="11" customWidth="1" style="38" min="12" max="12"/>
    <col width="9" customWidth="1" style="38" min="13" max="14"/>
    <col width="36" customWidth="1" style="38" min="15" max="16"/>
    <col width="12" customWidth="1" style="38" min="17" max="18"/>
    <col width="10" customWidth="1" style="38" min="19" max="19"/>
    <col width="12" customWidth="1" style="38" min="20" max="20"/>
    <col width="8" customWidth="1" style="38" min="21" max="21"/>
    <col width="14" customWidth="1" style="38" min="22" max="24"/>
  </cols>
  <sheetData>
    <row r="1" ht="15" customHeight="1" s="39">
      <c r="A1" s="43" t="inlineStr">
        <is>
          <t>FEATURE VALUE SCORING</t>
        </is>
      </c>
    </row>
    <row r="2" ht="14.25" customHeight="1" s="39">
      <c r="A2" s="53"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s="39">
      <c r="A3" s="59" t="inlineStr">
        <is>
          <t>Feature ID</t>
        </is>
      </c>
      <c r="B3" s="59" t="inlineStr">
        <is>
          <t>Feature Name</t>
        </is>
      </c>
      <c r="C3" s="59" t="inlineStr">
        <is>
          <t>Brief Reference</t>
        </is>
      </c>
      <c r="D3" s="59" t="inlineStr">
        <is>
          <t>Status</t>
        </is>
      </c>
      <c r="E3" s="59" t="inlineStr">
        <is>
          <t>Scored By</t>
        </is>
      </c>
      <c r="F3" s="59" t="inlineStr">
        <is>
          <t>Date Scored</t>
        </is>
      </c>
      <c r="G3" s="59" t="inlineStr">
        <is>
          <t>Reach (1-10)</t>
        </is>
      </c>
      <c r="H3" s="59" t="inlineStr">
        <is>
          <t>User Value (1-10)</t>
        </is>
      </c>
      <c r="I3" s="59" t="inlineStr">
        <is>
          <t>Business Value (1-10)</t>
        </is>
      </c>
      <c r="J3" s="59" t="inlineStr">
        <is>
          <t>Strategic Alignment (1-10)</t>
        </is>
      </c>
      <c r="K3" s="59" t="inlineStr">
        <is>
          <t>Time Sensitivity (1-10)</t>
        </is>
      </c>
      <c r="L3" s="59" t="inlineStr">
        <is>
          <t>Confidence (1-10)</t>
        </is>
      </c>
      <c r="M3" s="59" t="inlineStr">
        <is>
          <t>Effort (1-10)</t>
        </is>
      </c>
      <c r="N3" s="59" t="inlineStr">
        <is>
          <t>Risk (1-10)</t>
        </is>
      </c>
      <c r="O3" s="59" t="inlineStr">
        <is>
          <t>Evidence &amp; Sources</t>
        </is>
      </c>
      <c r="P3" s="59" t="inlineStr">
        <is>
          <t>Rationale Notes</t>
        </is>
      </c>
      <c r="Q3" s="59" t="inlineStr">
        <is>
          <t>Weighted Value</t>
        </is>
      </c>
      <c r="R3" s="59" t="inlineStr">
        <is>
          <t>Confidence Mult</t>
        </is>
      </c>
      <c r="S3" s="59" t="inlineStr">
        <is>
          <t>Risk Factor</t>
        </is>
      </c>
      <c r="T3" s="59" t="inlineStr">
        <is>
          <t>Priority Score (0-100)</t>
        </is>
      </c>
      <c r="U3" s="59" t="inlineStr">
        <is>
          <t>Rank</t>
        </is>
      </c>
      <c r="V3" s="59" t="inlineStr">
        <is>
          <t>Item Type</t>
        </is>
      </c>
      <c r="W3" s="59" t="inlineStr">
        <is>
          <t>Defect Source</t>
        </is>
      </c>
      <c r="X3" s="59" t="inlineStr">
        <is>
          <t>Severity (1-5)</t>
        </is>
      </c>
    </row>
    <row r="4" ht="409.5" customHeight="1" s="39">
      <c r="A4" s="60" t="inlineStr">
        <is>
          <t>F-001</t>
        </is>
      </c>
      <c r="B4" s="61" t="inlineStr">
        <is>
          <t>Adhere to a Design System</t>
        </is>
      </c>
      <c r="C4" s="60" t="inlineStr">
        <is>
          <t>briefs/F-001-adhere-to-design-system.md</t>
        </is>
      </c>
      <c r="D4" s="60" t="inlineStr">
        <is>
          <t>Prioritized</t>
        </is>
      </c>
      <c r="E4" s="60" t="inlineStr">
        <is>
          <t>Market Research Agent</t>
        </is>
      </c>
      <c r="F4" s="62" t="n">
        <v>46210</v>
      </c>
      <c r="G4" s="63" t="n">
        <v>10</v>
      </c>
      <c r="H4" s="63" t="n">
        <v>4</v>
      </c>
      <c r="I4" s="63" t="n">
        <v>6</v>
      </c>
      <c r="J4" s="63" t="n">
        <v>10</v>
      </c>
      <c r="K4" s="63" t="n">
        <v>6</v>
      </c>
      <c r="L4" s="63" t="n">
        <v>4</v>
      </c>
      <c r="M4" s="63" t="n">
        <v>2</v>
      </c>
      <c r="N4" s="63" t="n">
        <v>2</v>
      </c>
      <c r="O4" s="64"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65"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66">
        <f>IF(V4="Defect","",IF(COUNT(G4:K4)&lt;5,"",ROUND(G4*Config!$B$4+H4*Config!$B$5+I4*Config!$B$6+J4*Config!$B$7+K4*Config!$B$8,2)))</f>
        <v/>
      </c>
      <c r="R4" s="66">
        <f>IF(L4="","",VLOOKUP(L4,Config!$A$12:$B$21,2,0))</f>
        <v/>
      </c>
      <c r="S4" s="66">
        <f>IF(N4="","",VLOOKUP(N4,Config!$D$12:$E$21,2,0))</f>
        <v/>
      </c>
      <c r="T4" s="67">
        <f>IF(V4="Defect",IF(OR(X4="",G4="",R4=""),"",ROUND(MIN(100,VLOOKUP(X4,Config!$G$12:$H$16,2,0)*VLOOKUP(G4,Config!$I$12:$J$21,2,0)*R4),1)),IF(OR(Q4="",R4="",S4="",M4=""),"",ROUND(MIN(100,Q4*R4*S4/M4*20),1)))</f>
        <v/>
      </c>
      <c r="U4" s="68">
        <f>IF(T4="","",RANK(T4,$T$4:$T$52))</f>
        <v/>
      </c>
      <c r="V4" s="60" t="inlineStr">
        <is>
          <t>Feature</t>
        </is>
      </c>
    </row>
    <row r="5" ht="409.5" customHeight="1" s="39">
      <c r="A5" s="60" t="inlineStr">
        <is>
          <t>F-002</t>
        </is>
      </c>
      <c r="B5" s="61" t="inlineStr">
        <is>
          <t>Set a customer specific system prompt</t>
        </is>
      </c>
      <c r="C5" s="60" t="inlineStr">
        <is>
          <t>briefs/F-002-customer-system-prompt.md</t>
        </is>
      </c>
      <c r="D5" s="60" t="inlineStr">
        <is>
          <t>Prioritized</t>
        </is>
      </c>
      <c r="E5" s="60" t="inlineStr">
        <is>
          <t>Market Research Agent</t>
        </is>
      </c>
      <c r="F5" s="60" t="inlineStr">
        <is>
          <t>2026-07-07</t>
        </is>
      </c>
      <c r="G5" s="63" t="n">
        <v>6</v>
      </c>
      <c r="H5" s="63" t="n">
        <v>6</v>
      </c>
      <c r="I5" s="63" t="n">
        <v>4</v>
      </c>
      <c r="J5" s="63" t="n">
        <v>8</v>
      </c>
      <c r="K5" s="63" t="n">
        <v>6</v>
      </c>
      <c r="L5" s="63" t="n">
        <v>4</v>
      </c>
      <c r="M5" s="63" t="n">
        <v>4</v>
      </c>
      <c r="N5" s="63" t="n">
        <v>4</v>
      </c>
      <c r="O5" s="65"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65"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66">
        <f>IF(V5="Defect","",IF(COUNT(G5:K5)&lt;5,"",ROUND(G5*Config!$B$4+H5*Config!$B$5+I5*Config!$B$6+J5*Config!$B$7+K5*Config!$B$8,2)))</f>
        <v/>
      </c>
      <c r="R5" s="66">
        <f>IF(L5="","",VLOOKUP(L5,Config!$A$12:$B$21,2,0))</f>
        <v/>
      </c>
      <c r="S5" s="66">
        <f>IF(N5="","",VLOOKUP(N5,Config!$D$12:$E$21,2,0))</f>
        <v/>
      </c>
      <c r="T5" s="67">
        <f>IF(V5="Defect",IF(OR(X5="",G5="",R5=""),"",ROUND(MIN(100,VLOOKUP(X5,Config!$G$12:$H$16,2,0)*VLOOKUP(G5,Config!$I$12:$J$21,2,0)*R5),1)),IF(OR(Q5="",R5="",S5="",M5=""),"",ROUND(MIN(100,Q5*R5*S5/M5*20),1)))</f>
        <v/>
      </c>
      <c r="U5" s="68">
        <f>IF(T5="","",RANK(T5,$T$4:$T$52))</f>
        <v/>
      </c>
      <c r="V5" s="60" t="inlineStr">
        <is>
          <t>Feature</t>
        </is>
      </c>
    </row>
    <row r="6" ht="307.5" customHeight="1" s="39">
      <c r="A6" s="60" t="inlineStr">
        <is>
          <t>F-003</t>
        </is>
      </c>
      <c r="B6" s="61" t="inlineStr">
        <is>
          <t>Set a workspace level system prompt</t>
        </is>
      </c>
      <c r="C6" s="60" t="inlineStr">
        <is>
          <t>briefs/F-003-workspace-system-prompt.md</t>
        </is>
      </c>
      <c r="D6" s="60" t="inlineStr">
        <is>
          <t>Prioritized</t>
        </is>
      </c>
      <c r="E6" s="60" t="inlineStr">
        <is>
          <t>Market Research Agent</t>
        </is>
      </c>
      <c r="F6" s="60" t="inlineStr">
        <is>
          <t>2026-07-07</t>
        </is>
      </c>
      <c r="G6" s="63" t="n">
        <v>6</v>
      </c>
      <c r="H6" s="63" t="n">
        <v>6</v>
      </c>
      <c r="I6" s="63" t="n">
        <v>4</v>
      </c>
      <c r="J6" s="63" t="n">
        <v>10</v>
      </c>
      <c r="K6" s="63" t="n">
        <v>6</v>
      </c>
      <c r="L6" s="63" t="n">
        <v>4</v>
      </c>
      <c r="M6" s="63" t="n">
        <v>4</v>
      </c>
      <c r="N6" s="63" t="n">
        <v>2</v>
      </c>
      <c r="O6" s="65"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65"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66">
        <f>IF(V6="Defect","",IF(COUNT(G6:K6)&lt;5,"",ROUND(G6*Config!$B$4+H6*Config!$B$5+I6*Config!$B$6+J6*Config!$B$7+K6*Config!$B$8,2)))</f>
        <v/>
      </c>
      <c r="R6" s="66">
        <f>IF(L6="","",VLOOKUP(L6,Config!$A$12:$B$21,2,0))</f>
        <v/>
      </c>
      <c r="S6" s="66">
        <f>IF(N6="","",VLOOKUP(N6,Config!$D$12:$E$21,2,0))</f>
        <v/>
      </c>
      <c r="T6" s="67">
        <f>IF(V6="Defect",IF(OR(X6="",G6="",R6=""),"",ROUND(MIN(100,VLOOKUP(X6,Config!$G$12:$H$16,2,0)*VLOOKUP(G6,Config!$I$12:$J$21,2,0)*R6),1)),IF(OR(Q6="",R6="",S6="",M6=""),"",ROUND(MIN(100,Q6*R6*S6/M6*20),1)))</f>
        <v/>
      </c>
      <c r="U6" s="68">
        <f>IF(T6="","",RANK(T6,$T$4:$T$52))</f>
        <v/>
      </c>
      <c r="V6" s="60" t="inlineStr">
        <is>
          <t>Feature</t>
        </is>
      </c>
    </row>
    <row r="7" ht="349.5" customHeight="1" s="39">
      <c r="A7" s="60" t="inlineStr">
        <is>
          <t>F-004</t>
        </is>
      </c>
      <c r="B7" s="61" t="inlineStr">
        <is>
          <t>Implement a proper production ready eventbus to replace the inproc bus currently in use</t>
        </is>
      </c>
      <c r="C7" s="60" t="inlineStr">
        <is>
          <t>briefs/F-004-production-event-bus.md</t>
        </is>
      </c>
      <c r="D7" s="60" t="inlineStr">
        <is>
          <t>Implemented</t>
        </is>
      </c>
      <c r="E7" s="60" t="inlineStr">
        <is>
          <t>Market Research Agent</t>
        </is>
      </c>
      <c r="F7" s="60" t="inlineStr">
        <is>
          <t>2026-07-07</t>
        </is>
      </c>
      <c r="G7" s="63" t="n">
        <v>8</v>
      </c>
      <c r="H7" s="63" t="n">
        <v>8</v>
      </c>
      <c r="I7" s="63" t="n">
        <v>6</v>
      </c>
      <c r="J7" s="63" t="n">
        <v>10</v>
      </c>
      <c r="K7" s="63" t="n">
        <v>6</v>
      </c>
      <c r="L7" s="63" t="n">
        <v>4</v>
      </c>
      <c r="M7" s="63" t="n">
        <v>8</v>
      </c>
      <c r="N7" s="63" t="n">
        <v>6</v>
      </c>
      <c r="O7" s="65"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65"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66">
        <f>IF(V7="Defect","",IF(COUNT(G7:K7)&lt;5,"",ROUND(G7*Config!$B$4+H7*Config!$B$5+I7*Config!$B$6+J7*Config!$B$7+K7*Config!$B$8,2)))</f>
        <v/>
      </c>
      <c r="R7" s="66">
        <f>IF(L7="","",VLOOKUP(L7,Config!$A$12:$B$21,2,0))</f>
        <v/>
      </c>
      <c r="S7" s="66">
        <f>IF(N7="","",VLOOKUP(N7,Config!$D$12:$E$21,2,0))</f>
        <v/>
      </c>
      <c r="T7" s="67">
        <f>IF(V7="Defect",IF(OR(X7="",G7="",R7=""),"",ROUND(MIN(100,VLOOKUP(X7,Config!$G$12:$H$16,2,0)*VLOOKUP(G7,Config!$I$12:$J$21,2,0)*R7),1)),IF(OR(Q7="",R7="",S7="",M7=""),"",ROUND(MIN(100,Q7*R7*S7/M7*20),1)))</f>
        <v/>
      </c>
      <c r="U7" s="68">
        <f>IF(T7="","",RANK(T7,$T$4:$T$52))</f>
        <v/>
      </c>
      <c r="V7" s="60" t="inlineStr">
        <is>
          <t>Feature</t>
        </is>
      </c>
    </row>
    <row r="8" ht="98.25" customHeight="1" s="39">
      <c r="A8" s="60" t="inlineStr">
        <is>
          <t>D-001</t>
        </is>
      </c>
      <c r="B8" s="69"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60" t="inlineStr">
        <is>
          <t>https://github.com/dispatch-derek/admin-console/issues/5</t>
        </is>
      </c>
      <c r="D8" s="60" t="inlineStr">
        <is>
          <t>Prioritized</t>
        </is>
      </c>
      <c r="E8" s="60" t="inlineStr">
        <is>
          <t>Hybrid</t>
        </is>
      </c>
      <c r="F8" s="70" t="n">
        <v>46214</v>
      </c>
      <c r="G8" s="63" t="n">
        <v>8</v>
      </c>
      <c r="H8" s="63" t="n">
        <v>3</v>
      </c>
      <c r="I8" s="63" t="n">
        <v>2</v>
      </c>
      <c r="J8" s="63" t="n">
        <v>4</v>
      </c>
      <c r="K8" s="63" t="n">
        <v>6</v>
      </c>
      <c r="L8" s="63" t="n">
        <v>8</v>
      </c>
      <c r="M8" s="63" t="n">
        <v>2</v>
      </c>
      <c r="N8" s="63" t="n">
        <v>2</v>
      </c>
      <c r="O8" s="65"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65"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66">
        <f>IF(V8="Defect","",IF(COUNT(G8:K8)&lt;5,"",ROUND(G8*Config!$B$4+H8*Config!$B$5+I8*Config!$B$6+J8*Config!$B$7+K8*Config!$B$8,2)))</f>
        <v/>
      </c>
      <c r="R8" s="66">
        <f>IF(L8="","",VLOOKUP(L8,Config!$A$12:$B$21,2,0))</f>
        <v/>
      </c>
      <c r="S8" s="66">
        <f>IF(N8="","",VLOOKUP(N8,Config!$D$12:$E$21,2,0))</f>
        <v/>
      </c>
      <c r="T8" s="67">
        <f>IF(V8="Defect",IF(OR(X8="",G8="",R8=""),"",ROUND(MIN(100,VLOOKUP(X8,Config!$G$12:$H$16,2,0)*VLOOKUP(G8,Config!$I$12:$J$21,2,0)*R8),1)),IF(OR(Q8="",R8="",S8="",M8=""),"",ROUND(MIN(100,Q8*R8*S8/M8*20),1)))</f>
        <v/>
      </c>
      <c r="U8" s="68">
        <f>IF(T8="","",RANK(T8,$T$4:$T$52))</f>
        <v/>
      </c>
      <c r="V8" s="71" t="inlineStr">
        <is>
          <t>Defect</t>
        </is>
      </c>
      <c r="W8" s="38" t="inlineStr">
        <is>
          <t>Internal</t>
        </is>
      </c>
      <c r="X8" s="38" t="n">
        <v>2</v>
      </c>
    </row>
    <row r="9" ht="98.25" customHeight="1" s="39">
      <c r="A9" s="72" t="inlineStr">
        <is>
          <t>F-005</t>
        </is>
      </c>
      <c r="B9" s="69" t="inlineStr">
        <is>
          <t>Per-Customer Feature Toggle Console</t>
        </is>
      </c>
      <c r="C9" s="60" t="inlineStr">
        <is>
          <t>briefs/F-005-per-customer-feature-toggle-console.md</t>
        </is>
      </c>
      <c r="D9" s="60" t="inlineStr">
        <is>
          <t>Implemented</t>
        </is>
      </c>
      <c r="E9" s="60" t="inlineStr">
        <is>
          <t>Market Research Agent</t>
        </is>
      </c>
      <c r="F9" s="70" t="n">
        <v>46214</v>
      </c>
      <c r="G9" s="63" t="n">
        <v>8</v>
      </c>
      <c r="H9" s="63" t="n">
        <v>8</v>
      </c>
      <c r="I9" s="63" t="n">
        <v>10</v>
      </c>
      <c r="J9" s="63" t="n">
        <v>5</v>
      </c>
      <c r="K9" s="63" t="n">
        <v>10</v>
      </c>
      <c r="L9" s="63" t="n">
        <v>4</v>
      </c>
      <c r="M9" s="63" t="n">
        <v>5</v>
      </c>
      <c r="N9" s="63" t="n">
        <v>1</v>
      </c>
      <c r="O9" s="65"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65"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66">
        <f>IF(V9="Defect","",IF(COUNT(G9:K9)&lt;5,"",ROUND(G9*Config!$B$4+H9*Config!$B$5+I9*Config!$B$6+J9*Config!$B$7+K9*Config!$B$8,2)))</f>
        <v/>
      </c>
      <c r="R9" s="66">
        <f>IF(L9="","",VLOOKUP(L9,Config!$A$12:$B$21,2,0))</f>
        <v/>
      </c>
      <c r="S9" s="66">
        <f>IF(N9="","",VLOOKUP(N9,Config!$D$12:$E$21,2,0))</f>
        <v/>
      </c>
      <c r="T9" s="67">
        <f>IF(V9="Defect",IF(OR(X9="",G9="",R9=""),"",ROUND(MIN(100,VLOOKUP(X9,Config!$G$12:$H$16,2,0)*VLOOKUP(G9,Config!$I$12:$J$21,2,0)*R9),1)),IF(OR(Q9="",R9="",S9="",M9=""),"",ROUND(MIN(100,Q9*R9*S9/M9*20),1)))</f>
        <v/>
      </c>
      <c r="U9" s="68">
        <f>IF(T9="","",RANK(T9,$T$4:$T$52))</f>
        <v/>
      </c>
      <c r="V9" s="71" t="inlineStr">
        <is>
          <t>Feature</t>
        </is>
      </c>
    </row>
    <row r="10" ht="409.5" customHeight="1" s="39">
      <c r="A10" s="60" t="inlineStr">
        <is>
          <t>D-002</t>
        </is>
      </c>
      <c r="B10" s="61" t="inlineStr">
        <is>
          <t>Light-theme secondary text (--theme-text-secondary #7a7d7e) fails WCAG 2.1 AA contrast (4.15:1 &lt; 4.5:1) on all consumers incl. F-005 provenance/label text; token is byte-pinned by F-001 gates so the fix is an F-001-scope design-system revision</t>
        </is>
      </c>
      <c r="C10" s="73" t="inlineStr">
        <is>
          <t>https://github.com/dispatch-derek/admin-console/issues/7</t>
        </is>
      </c>
      <c r="D10" s="60" t="inlineStr">
        <is>
          <t>Prioritized</t>
        </is>
      </c>
      <c r="E10" s="60" t="inlineStr">
        <is>
          <t>Market Research Agent</t>
        </is>
      </c>
      <c r="F10" s="60" t="inlineStr">
        <is>
          <t>2026-07-13</t>
        </is>
      </c>
      <c r="G10" s="63" t="n">
        <v>5</v>
      </c>
      <c r="H10" s="63" t="n"/>
      <c r="I10" s="63" t="n"/>
      <c r="J10" s="63" t="n">
        <v>1</v>
      </c>
      <c r="K10" s="63" t="n">
        <v>5</v>
      </c>
      <c r="L10" s="63" t="n">
        <v>7</v>
      </c>
      <c r="M10" s="63" t="n">
        <v>2</v>
      </c>
      <c r="N10" s="63" t="n">
        <v>1</v>
      </c>
      <c r="O10" s="65"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65"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66">
        <f>IF(V10="Defect","",IF(COUNT(G10:K10)&lt;5,"",ROUND(G10*Config!$B$4+H10*Config!$B$5+I10*Config!$B$6+J10*Config!$B$7+K10*Config!$B$8,2)))</f>
        <v/>
      </c>
      <c r="R10" s="66">
        <f>IF(L10="","",VLOOKUP(L10,Config!$A$12:$B$21,2,0))</f>
        <v/>
      </c>
      <c r="S10" s="66">
        <f>IF(N10="","",VLOOKUP(N10,Config!$D$12:$E$21,2,0))</f>
        <v/>
      </c>
      <c r="T10" s="67">
        <f>IF(V10="Defect",IF(OR(X10="",G10="",R10=""),"",ROUND(MIN(100,VLOOKUP(X10,Config!$G$12:$H$16,2,0)*VLOOKUP(G10,Config!$I$12:$J$21,2,0)*R10),1)),IF(OR(Q10="",R10="",S10="",M10=""),"",ROUND(MIN(100,Q10*R10*S10/M10*20),1)))</f>
        <v/>
      </c>
      <c r="U10" s="68">
        <f>IF(T10="","",RANK(T10,$T$4:$T$52))</f>
        <v/>
      </c>
      <c r="V10" s="71" t="inlineStr">
        <is>
          <t>Defect</t>
        </is>
      </c>
      <c r="W10" s="38" t="inlineStr">
        <is>
          <t>Internal</t>
        </is>
      </c>
      <c r="X10" s="38" t="n">
        <v>2</v>
      </c>
    </row>
    <row r="11" ht="56.25" customHeight="1" s="39">
      <c r="A11" s="60" t="inlineStr">
        <is>
          <t>F-006</t>
        </is>
      </c>
      <c r="B11" s="61" t="inlineStr">
        <is>
          <t>Local-first per-workspace LLM observability (usage, performance, resource load)</t>
        </is>
      </c>
      <c r="C11" s="60" t="inlineStr">
        <is>
          <t>briefs/F-006-local-first-workspace-llm-observability.md</t>
        </is>
      </c>
      <c r="D11" s="60" t="inlineStr">
        <is>
          <t>Prioritized</t>
        </is>
      </c>
      <c r="E11" s="60" t="inlineStr">
        <is>
          <t>Hybrid</t>
        </is>
      </c>
      <c r="F11" s="60" t="inlineStr">
        <is>
          <t>2026-07-19</t>
        </is>
      </c>
      <c r="G11" s="63" t="n">
        <v>6</v>
      </c>
      <c r="H11" s="63" t="n">
        <v>7</v>
      </c>
      <c r="I11" s="63" t="n">
        <v>6</v>
      </c>
      <c r="J11" s="63" t="n">
        <v>7</v>
      </c>
      <c r="K11" s="63" t="n">
        <v>4</v>
      </c>
      <c r="L11" s="63" t="n">
        <v>5</v>
      </c>
      <c r="M11" s="63" t="n">
        <v>6</v>
      </c>
      <c r="N11" s="63" t="n">
        <v>5</v>
      </c>
      <c r="O11" s="65" t="inlineStr">
        <is>
          <t>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is>
      </c>
      <c r="P11" s="65" t="inlineStr">
        <is>
          <t>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is>
      </c>
      <c r="Q11" s="66">
        <f>IF(V11="Defect","",IF(COUNT(G11:K11)&lt;5,"",ROUND(G11*Config!$B$4+H11*Config!$B$5+I11*Config!$B$6+J11*Config!$B$7+K11*Config!$B$8,2)))</f>
        <v/>
      </c>
      <c r="R11" s="66">
        <f>IF(L11="","",VLOOKUP(L11,Config!$A$12:$B$21,2,0))</f>
        <v/>
      </c>
      <c r="S11" s="66">
        <f>IF(N11="","",VLOOKUP(N11,Config!$D$12:$E$21,2,0))</f>
        <v/>
      </c>
      <c r="T11" s="67">
        <f>IF(V11="Defect",IF(OR(X11="",G11="",R11=""),"",ROUND(MIN(100,VLOOKUP(X11,Config!$G$12:$H$16,2,0)*VLOOKUP(G11,Config!$I$12:$J$21,2,0)*R11),1)),IF(OR(Q11="",R11="",S11="",M11=""),"",ROUND(MIN(100,Q11*R11*S11/M11*20),1)))</f>
        <v/>
      </c>
      <c r="U11" s="68">
        <f>IF(T11="","",RANK(T11,$T$4:$T$52))</f>
        <v/>
      </c>
      <c r="V11" s="71" t="inlineStr">
        <is>
          <t>Feature</t>
        </is>
      </c>
    </row>
    <row r="12" ht="95.25" customHeight="1" s="39">
      <c r="A12" s="60" t="inlineStr">
        <is>
          <t>D-003</t>
        </is>
      </c>
      <c r="B12" s="61" t="inlineStr">
        <is>
          <t>Workspace chat history page is leaking json of the chat history onto the page vs laying out the data in a tabular format for human viewing.</t>
        </is>
      </c>
      <c r="C12" s="73" t="inlineStr">
        <is>
          <t>https://github.com/dispatch-derek/admin-console/issues/9</t>
        </is>
      </c>
      <c r="D12" s="60" t="inlineStr">
        <is>
          <t>Prioritized</t>
        </is>
      </c>
      <c r="E12" s="60" t="inlineStr">
        <is>
          <t>Market Research Agent</t>
        </is>
      </c>
      <c r="F12" s="60" t="inlineStr">
        <is>
          <t>2026-07-15</t>
        </is>
      </c>
      <c r="G12" s="63" t="n">
        <v>6</v>
      </c>
      <c r="H12" s="63" t="n"/>
      <c r="I12" s="63" t="n"/>
      <c r="J12" s="63" t="n">
        <v>5</v>
      </c>
      <c r="K12" s="63" t="n"/>
      <c r="L12" s="63" t="n">
        <v>7</v>
      </c>
      <c r="M12" s="63" t="n"/>
      <c r="N12" s="63" t="n"/>
      <c r="O12" s="65"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65"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66">
        <f>IF(V12="Defect","",IF(COUNT(G12:K12)&lt;5,"",ROUND(G12*Config!$B$4+H12*Config!$B$5+I12*Config!$B$6+J12*Config!$B$7+K12*Config!$B$8,2)))</f>
        <v/>
      </c>
      <c r="R12" s="66">
        <f>IF(L12="","",VLOOKUP(L12,Config!$A$12:$B$21,2,0))</f>
        <v/>
      </c>
      <c r="S12" s="66">
        <f>IF(N12="","",VLOOKUP(N12,Config!$D$12:$E$21,2,0))</f>
        <v/>
      </c>
      <c r="T12" s="67">
        <f>IF(V12="Defect",IF(OR(X12="",G12="",R12=""),"",ROUND(MIN(100,VLOOKUP(X12,Config!$G$12:$H$16,2,0)*VLOOKUP(G12,Config!$I$12:$J$21,2,0)*R12),1)),IF(OR(Q12="",R12="",S12="",M12=""),"",ROUND(MIN(100,Q12*R12*S12/M12*20),1)))</f>
        <v/>
      </c>
      <c r="U12" s="68">
        <f>IF(T12="","",RANK(T12,$T$4:$T$52))</f>
        <v/>
      </c>
      <c r="V12" s="71" t="inlineStr">
        <is>
          <t>Defect</t>
        </is>
      </c>
      <c r="W12" s="38" t="inlineStr">
        <is>
          <t>Internal</t>
        </is>
      </c>
      <c r="X12" s="38" t="n">
        <v>5</v>
      </c>
    </row>
    <row r="13" ht="111.75" customHeight="1" s="39">
      <c r="A13" s="60" t="inlineStr">
        <is>
          <t>F-007</t>
        </is>
      </c>
      <c r="B13" s="61" t="inlineStr">
        <is>
          <t>Multi-language and number format internationalization support in the user interface</t>
        </is>
      </c>
      <c r="C13" s="60" t="inlineStr">
        <is>
          <t>briefs/F-007-ui-internationalization.md</t>
        </is>
      </c>
      <c r="D13" s="60" t="inlineStr">
        <is>
          <t>Prioritized</t>
        </is>
      </c>
      <c r="E13" s="60" t="inlineStr">
        <is>
          <t>Market Research Agent</t>
        </is>
      </c>
      <c r="F13" s="60" t="inlineStr">
        <is>
          <t>2026-07-19</t>
        </is>
      </c>
      <c r="G13" s="63" t="n">
        <v>2</v>
      </c>
      <c r="H13" s="63" t="n">
        <v>6</v>
      </c>
      <c r="I13" s="63" t="n">
        <v>8</v>
      </c>
      <c r="J13" s="63" t="n">
        <v>7</v>
      </c>
      <c r="K13" s="63" t="n">
        <v>3</v>
      </c>
      <c r="L13" s="63" t="n">
        <v>4</v>
      </c>
      <c r="M13" s="63" t="n">
        <v>2</v>
      </c>
      <c r="N13" s="63" t="n">
        <v>2</v>
      </c>
      <c r="O13" s="65"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65"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66">
        <f>IF(V13="Defect","",IF(COUNT(G13:K13)&lt;5,"",ROUND(G13*Config!$B$4+H13*Config!$B$5+I13*Config!$B$6+J13*Config!$B$7+K13*Config!$B$8,2)))</f>
        <v/>
      </c>
      <c r="R13" s="66">
        <f>IF(L13="","",VLOOKUP(L13,Config!$A$12:$B$21,2,0))</f>
        <v/>
      </c>
      <c r="S13" s="66">
        <f>IF(N13="","",VLOOKUP(N13,Config!$D$12:$E$21,2,0))</f>
        <v/>
      </c>
      <c r="T13" s="67">
        <f>IF(V13="Defect",IF(OR(X13="",G13="",R13=""),"",ROUND(MIN(100,VLOOKUP(X13,Config!$G$12:$H$16,2,0)*VLOOKUP(G13,Config!$I$12:$J$21,2,0)*R13),1)),IF(OR(Q13="",R13="",S13="",M13=""),"",ROUND(MIN(100,Q13*R13*S13/M13*20),1)))</f>
        <v/>
      </c>
      <c r="U13" s="68">
        <f>IF(T13="","",RANK(T13,$T$4:$T$52))</f>
        <v/>
      </c>
      <c r="V13" s="71" t="inlineStr">
        <is>
          <t>Feature</t>
        </is>
      </c>
    </row>
    <row r="14" ht="112.5" customHeight="1" s="39">
      <c r="A14" s="60" t="inlineStr">
        <is>
          <t>D-004</t>
        </is>
      </c>
      <c r="B14" s="61"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60" t="n"/>
      <c r="D14" s="60" t="inlineStr">
        <is>
          <t>Prioritized</t>
        </is>
      </c>
      <c r="E14" s="60" t="inlineStr">
        <is>
          <t>Market Research Agent</t>
        </is>
      </c>
      <c r="F14" s="60" t="inlineStr">
        <is>
          <t>2026-07-15</t>
        </is>
      </c>
      <c r="G14" s="63" t="n">
        <v>6</v>
      </c>
      <c r="H14" s="63" t="n"/>
      <c r="I14" s="63" t="n"/>
      <c r="J14" s="63" t="n">
        <v>2</v>
      </c>
      <c r="K14" s="63" t="n"/>
      <c r="L14" s="63" t="n">
        <v>6</v>
      </c>
      <c r="M14" s="63" t="n"/>
      <c r="N14" s="63" t="n"/>
      <c r="O14" s="65"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65"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66">
        <f>IF(V14="Defect","",IF(COUNT(G14:K14)&lt;5,"",ROUND(G14*Config!$B$4+H14*Config!$B$5+I14*Config!$B$6+J14*Config!$B$7+K14*Config!$B$8,2)))</f>
        <v/>
      </c>
      <c r="R14" s="66">
        <f>IF(L14="","",VLOOKUP(L14,Config!$A$12:$B$21,2,0))</f>
        <v/>
      </c>
      <c r="S14" s="66">
        <f>IF(N14="","",VLOOKUP(N14,Config!$D$12:$E$21,2,0))</f>
        <v/>
      </c>
      <c r="T14" s="67">
        <f>IF(V14="Defect",IF(OR(X14="",G14="",R14=""),"",ROUND(MIN(100,VLOOKUP(X14,Config!$G$12:$H$16,2,0)*VLOOKUP(G14,Config!$I$12:$J$21,2,0)*R14),1)),IF(OR(Q14="",R14="",S14="",M14=""),"",ROUND(MIN(100,Q14*R14*S14/M14*20),1)))</f>
        <v/>
      </c>
      <c r="U14" s="68">
        <f>IF(T14="","",RANK(T14,$T$4:$T$52))</f>
        <v/>
      </c>
      <c r="V14" s="71" t="inlineStr">
        <is>
          <t>Defect</t>
        </is>
      </c>
      <c r="W14" s="38" t="inlineStr">
        <is>
          <t>Internal</t>
        </is>
      </c>
      <c r="X14" s="38" t="n">
        <v>1</v>
      </c>
    </row>
    <row r="15" ht="14.25" customHeight="1" s="39">
      <c r="A15" s="60" t="inlineStr">
        <is>
          <t>F-008</t>
        </is>
      </c>
      <c r="B15" s="61" t="inlineStr">
        <is>
          <t>System-wide backups on schedule</t>
        </is>
      </c>
      <c r="C15" s="60" t="inlineStr">
        <is>
          <t>briefs/F-008-system-wide-scheduled-backups.md</t>
        </is>
      </c>
      <c r="D15" s="60" t="inlineStr">
        <is>
          <t>Prioritized</t>
        </is>
      </c>
      <c r="E15" s="60" t="inlineStr">
        <is>
          <t>Market Research Agent</t>
        </is>
      </c>
      <c r="F15" s="60" t="inlineStr">
        <is>
          <t>2026-07-19</t>
        </is>
      </c>
      <c r="G15" s="63" t="n">
        <v>8</v>
      </c>
      <c r="H15" s="63" t="n">
        <v>6</v>
      </c>
      <c r="I15" s="63" t="n">
        <v>7</v>
      </c>
      <c r="J15" s="63" t="n">
        <v>10</v>
      </c>
      <c r="K15" s="63" t="n">
        <v>5</v>
      </c>
      <c r="L15" s="63" t="n">
        <v>6</v>
      </c>
      <c r="M15" s="63" t="n">
        <v>4</v>
      </c>
      <c r="N15" s="63" t="n">
        <v>7</v>
      </c>
      <c r="O15" s="65"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65"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66">
        <f>IF(V15="Defect","",IF(COUNT(G15:K15)&lt;5,"",ROUND(G15*Config!$B$4+H15*Config!$B$5+I15*Config!$B$6+J15*Config!$B$7+K15*Config!$B$8,2)))</f>
        <v/>
      </c>
      <c r="R15" s="66">
        <f>IF(L15="","",VLOOKUP(L15,Config!$A$12:$B$21,2,0))</f>
        <v/>
      </c>
      <c r="S15" s="66">
        <f>IF(N15="","",VLOOKUP(N15,Config!$D$12:$E$21,2,0))</f>
        <v/>
      </c>
      <c r="T15" s="67">
        <f>IF(V15="Defect",IF(OR(X15="",G15="",R15=""),"",ROUND(MIN(100,VLOOKUP(X15,Config!$G$12:$H$16,2,0)*VLOOKUP(G15,Config!$I$12:$J$21,2,0)*R15),1)),IF(OR(Q15="",R15="",S15="",M15=""),"",ROUND(MIN(100,Q15*R15*S15/M15*20),1)))</f>
        <v/>
      </c>
      <c r="U15" s="68">
        <f>IF(T15="","",RANK(T15,$T$4:$T$52))</f>
        <v/>
      </c>
      <c r="V15" s="71" t="inlineStr">
        <is>
          <t>Feature</t>
        </is>
      </c>
      <c r="W15" s="38" t="inlineStr">
        <is>
          <t>Internal</t>
        </is>
      </c>
    </row>
    <row r="16" ht="14.25" customHeight="1" s="39">
      <c r="A16" s="60" t="inlineStr">
        <is>
          <t>D-005</t>
        </is>
      </c>
      <c r="B16" s="61"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60" t="inlineStr">
        <is>
          <t>https://github.com/dispatch-derek/admin-console/issues/10</t>
        </is>
      </c>
      <c r="D16" s="60" t="inlineStr">
        <is>
          <t>Prioritized</t>
        </is>
      </c>
      <c r="E16" s="60" t="inlineStr">
        <is>
          <t>Market Research Agent</t>
        </is>
      </c>
      <c r="F16" s="60" t="inlineStr">
        <is>
          <t>2026-07-19</t>
        </is>
      </c>
      <c r="G16" s="63" t="n">
        <v>1</v>
      </c>
      <c r="H16" s="63" t="n"/>
      <c r="I16" s="63" t="n"/>
      <c r="J16" s="63" t="n">
        <v>5</v>
      </c>
      <c r="K16" s="63" t="n"/>
      <c r="L16" s="63" t="n">
        <v>10</v>
      </c>
      <c r="M16" s="63" t="n">
        <v>1</v>
      </c>
      <c r="N16" s="63" t="n">
        <v>1</v>
      </c>
      <c r="O16" s="65"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65"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66">
        <f>IF(V16="Defect","",IF(COUNT(G16:K16)&lt;5,"",ROUND(G16*Config!$B$4+H16*Config!$B$5+I16*Config!$B$6+J16*Config!$B$7+K16*Config!$B$8,2)))</f>
        <v/>
      </c>
      <c r="R16" s="66">
        <f>IF(L16="","",VLOOKUP(L16,Config!$A$12:$B$21,2,0))</f>
        <v/>
      </c>
      <c r="S16" s="66">
        <f>IF(N16="","",VLOOKUP(N16,Config!$D$12:$E$21,2,0))</f>
        <v/>
      </c>
      <c r="T16" s="67">
        <f>IF(V16="Defect",IF(OR(X16="",G16="",R16=""),"",ROUND(MIN(100,VLOOKUP(X16,Config!$G$12:$H$16,2,0)*VLOOKUP(G16,Config!$I$12:$J$21,2,0)*R16),1)),IF(OR(Q16="",R16="",S16="",M16=""),"",ROUND(MIN(100,Q16*R16*S16/M16*20),1)))</f>
        <v/>
      </c>
      <c r="U16" s="68">
        <f>IF(T16="","",RANK(T16,$T$4:$T$52))</f>
        <v/>
      </c>
      <c r="V16" s="38" t="inlineStr">
        <is>
          <t>Defect</t>
        </is>
      </c>
      <c r="W16" s="38" t="inlineStr">
        <is>
          <t>Internal</t>
        </is>
      </c>
      <c r="X16" s="38" t="n">
        <v>1</v>
      </c>
    </row>
    <row r="17" ht="195.75" customHeight="1" s="39">
      <c r="A17" s="60" t="inlineStr">
        <is>
          <t>D-006</t>
        </is>
      </c>
      <c r="B17" s="61"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60" t="inlineStr">
        <is>
          <t>https://github.com/dispatch-derek/admin-console/issues/16</t>
        </is>
      </c>
      <c r="D17" s="60" t="inlineStr">
        <is>
          <t>Prioritized</t>
        </is>
      </c>
      <c r="E17" s="60" t="inlineStr">
        <is>
          <t>Market Research Agent</t>
        </is>
      </c>
      <c r="F17" s="60" t="inlineStr">
        <is>
          <t>2026-07-19</t>
        </is>
      </c>
      <c r="G17" s="63" t="n">
        <v>1</v>
      </c>
      <c r="H17" s="63" t="n"/>
      <c r="I17" s="63" t="n"/>
      <c r="J17" s="63" t="n"/>
      <c r="K17" s="63" t="n"/>
      <c r="L17" s="63" t="n">
        <v>9</v>
      </c>
      <c r="M17" s="63" t="n"/>
      <c r="N17" s="63" t="n"/>
      <c r="O17" s="65"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65"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66">
        <f>IF(V17="Defect","",IF(COUNT(G17:K17)&lt;5,"",ROUND(G17*Config!$B$4+H17*Config!$B$5+I17*Config!$B$6+J17*Config!$B$7+K17*Config!$B$8,2)))</f>
        <v/>
      </c>
      <c r="R17" s="66">
        <f>IF(L17="","",VLOOKUP(L17,Config!$A$12:$B$21,2,0))</f>
        <v/>
      </c>
      <c r="S17" s="66">
        <f>IF(N17="","",VLOOKUP(N17,Config!$D$12:$E$21,2,0))</f>
        <v/>
      </c>
      <c r="T17" s="67">
        <f>IF(V17="Defect",IF(OR(X17="",G17="",R17=""),"",ROUND(MIN(100,VLOOKUP(X17,Config!$G$12:$H$16,2,0)*VLOOKUP(G17,Config!$I$12:$J$21,2,0)*R17),1)),IF(OR(Q17="",R17="",S17="",M17=""),"",ROUND(MIN(100,Q17*R17*S17/M17*20),1)))</f>
        <v/>
      </c>
      <c r="U17" s="68">
        <f>IF(T17="","",RANK(T17,$T$4:$T$52))</f>
        <v/>
      </c>
      <c r="V17" s="38" t="inlineStr">
        <is>
          <t>Defect</t>
        </is>
      </c>
      <c r="W17" s="38" t="inlineStr">
        <is>
          <t>Internal</t>
        </is>
      </c>
      <c r="X17" s="38" t="n">
        <v>2</v>
      </c>
    </row>
    <row r="18" ht="14.25" customHeight="1" s="39">
      <c r="A18" s="60" t="inlineStr">
        <is>
          <t>F-009</t>
        </is>
      </c>
      <c r="B18" s="61" t="inlineStr">
        <is>
          <t>Console login for console-created admin users</t>
        </is>
      </c>
      <c r="C18" s="60" t="inlineStr">
        <is>
          <t>briefs/F-009-console-login-for-console-created-admin-users.md</t>
        </is>
      </c>
      <c r="D18" s="60" t="inlineStr">
        <is>
          <t>Prioritized</t>
        </is>
      </c>
      <c r="E18" s="60" t="inlineStr">
        <is>
          <t>Market Research Agent</t>
        </is>
      </c>
      <c r="F18" s="60" t="inlineStr">
        <is>
          <t>2026-07-19</t>
        </is>
      </c>
      <c r="G18" s="63" t="n">
        <v>4</v>
      </c>
      <c r="H18" s="63" t="n">
        <v>6</v>
      </c>
      <c r="I18" s="63" t="n">
        <v>4</v>
      </c>
      <c r="J18" s="63" t="n">
        <v>7</v>
      </c>
      <c r="K18" s="63" t="n">
        <v>9</v>
      </c>
      <c r="L18" s="63" t="n">
        <v>5</v>
      </c>
      <c r="M18" s="63" t="n">
        <v>7</v>
      </c>
      <c r="N18" s="63" t="n">
        <v>5</v>
      </c>
      <c r="O18" s="65"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65"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66">
        <f>IF(V18="Defect","",IF(COUNT(G18:K18)&lt;5,"",ROUND(G18*Config!$B$4+H18*Config!$B$5+I18*Config!$B$6+J18*Config!$B$7+K18*Config!$B$8,2)))</f>
        <v/>
      </c>
      <c r="R18" s="66">
        <f>IF(L18="","",VLOOKUP(L18,Config!$A$12:$B$21,2,0))</f>
        <v/>
      </c>
      <c r="S18" s="66">
        <f>IF(N18="","",VLOOKUP(N18,Config!$D$12:$E$21,2,0))</f>
        <v/>
      </c>
      <c r="T18" s="67">
        <f>IF(V18="Defect",IF(OR(X18="",G18="",R18=""),"",ROUND(MIN(100,VLOOKUP(X18,Config!$G$12:$H$16,2,0)*VLOOKUP(G18,Config!$I$12:$J$21,2,0)*R18),1)),IF(OR(Q18="",R18="",S18="",M18=""),"",ROUND(MIN(100,Q18*R18*S18/M18*20),1)))</f>
        <v/>
      </c>
      <c r="U18" s="68">
        <f>IF(T18="","",RANK(T18,$T$4:$T$52))</f>
        <v/>
      </c>
      <c r="V18" s="71" t="inlineStr">
        <is>
          <t>Feature</t>
        </is>
      </c>
    </row>
    <row r="19" ht="14.25" customHeight="1" s="39">
      <c r="A19" s="60" t="inlineStr">
        <is>
          <t>F-010</t>
        </is>
      </c>
      <c r="B19" s="61" t="inlineStr">
        <is>
          <t>Deliver admin.* events to customer-web-app: add its ingest endpoint to the relay peer list</t>
        </is>
      </c>
      <c r="C19" s="60" t="inlineStr">
        <is>
          <t>briefs/F-010-deliver-admin-events-to-customer-web-app.md</t>
        </is>
      </c>
      <c r="D19" s="60" t="inlineStr">
        <is>
          <t>Scored</t>
        </is>
      </c>
      <c r="E19" s="60" t="inlineStr">
        <is>
          <t>Market Research Agent</t>
        </is>
      </c>
      <c r="F19" s="60" t="inlineStr">
        <is>
          <t>2026-07-20</t>
        </is>
      </c>
      <c r="G19" s="63" t="n">
        <v>2</v>
      </c>
      <c r="H19" s="63" t="n">
        <v>5</v>
      </c>
      <c r="I19" s="63" t="n">
        <v>4</v>
      </c>
      <c r="J19" s="63" t="n"/>
      <c r="K19" s="63" t="n">
        <v>6</v>
      </c>
      <c r="L19" s="63" t="n">
        <v>5</v>
      </c>
      <c r="M19" s="63" t="n"/>
      <c r="N19" s="63" t="n"/>
      <c r="O19" s="65" t="inlineStr">
        <is>
          <t>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is>
      </c>
      <c r="P19" s="65" t="inlineStr">
        <is>
          <t>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t>
        </is>
      </c>
      <c r="Q19" s="66">
        <f>IF(V19="Defect","",IF(COUNT(G19:K19)&lt;5,"",ROUND(G19*Config!$B$4+H19*Config!$B$5+I19*Config!$B$6+J19*Config!$B$7+K19*Config!$B$8,2)))</f>
        <v/>
      </c>
      <c r="R19" s="66">
        <f>IF(L19="","",VLOOKUP(L19,Config!$A$12:$B$21,2,0))</f>
        <v/>
      </c>
      <c r="S19" s="66">
        <f>IF(N19="","",VLOOKUP(N19,Config!$D$12:$E$21,2,0))</f>
        <v/>
      </c>
      <c r="T19" s="67">
        <f>IF(V19="Defect",IF(OR(X19="",G19="",R19=""),"",ROUND(MIN(100,VLOOKUP(X19,Config!$G$12:$H$16,2,0)*VLOOKUP(G19,Config!$I$12:$J$21,2,0)*R19),1)),IF(OR(Q19="",R19="",S19="",M19=""),"",ROUND(MIN(100,Q19*R19*S19/M19*20),1)))</f>
        <v/>
      </c>
      <c r="U19" s="68">
        <f>IF(T19="","",RANK(T19,$T$4:$T$52))</f>
        <v/>
      </c>
      <c r="V19" s="38" t="inlineStr">
        <is>
          <t>Feature</t>
        </is>
      </c>
    </row>
    <row r="20" ht="14.25" customHeight="1" s="39">
      <c r="A20" s="60" t="inlineStr">
        <is>
          <t>F-011</t>
        </is>
      </c>
      <c r="B20" s="61" t="inlineStr">
        <is>
          <t>Dashboard and reports for visualizing the data coming in as customer.* events from customer-web-app</t>
        </is>
      </c>
      <c r="C20" s="60" t="inlineStr">
        <is>
          <t>briefs/F-011-customer-event-dashboards-and-reports.md</t>
        </is>
      </c>
      <c r="D20" s="60" t="inlineStr">
        <is>
          <t>Scored</t>
        </is>
      </c>
      <c r="E20" s="60" t="inlineStr">
        <is>
          <t>Market Research Agent</t>
        </is>
      </c>
      <c r="F20" s="60" t="inlineStr">
        <is>
          <t>2026-07-20</t>
        </is>
      </c>
      <c r="G20" s="63" t="n">
        <v>5</v>
      </c>
      <c r="H20" s="63" t="n">
        <v>7</v>
      </c>
      <c r="I20" s="63" t="n">
        <v>5</v>
      </c>
      <c r="J20" s="63" t="n"/>
      <c r="K20" s="63" t="n">
        <v>5</v>
      </c>
      <c r="L20" s="63" t="n">
        <v>4</v>
      </c>
      <c r="M20" s="63" t="n"/>
      <c r="N20" s="63" t="n"/>
      <c r="O20" s="65" t="inlineStr">
        <is>
          <t>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is>
      </c>
      <c r="P20" s="65" t="inlineStr">
        <is>
          <t>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is>
      </c>
      <c r="Q20" s="66">
        <f>IF(V20="Defect","",IF(COUNT(G20:K20)&lt;5,"",ROUND(G20*Config!$B$4+H20*Config!$B$5+I20*Config!$B$6+J20*Config!$B$7+K20*Config!$B$8,2)))</f>
        <v/>
      </c>
      <c r="R20" s="66">
        <f>IF(L20="","",VLOOKUP(L20,Config!$A$12:$B$21,2,0))</f>
        <v/>
      </c>
      <c r="S20" s="66">
        <f>IF(N20="","",VLOOKUP(N20,Config!$D$12:$E$21,2,0))</f>
        <v/>
      </c>
      <c r="T20" s="67">
        <f>IF(V20="Defect",IF(OR(X20="",G20="",R20=""),"",ROUND(MIN(100,VLOOKUP(X20,Config!$G$12:$H$16,2,0)*VLOOKUP(G20,Config!$I$12:$J$21,2,0)*R20),1)),IF(OR(Q20="",R20="",S20="",M20=""),"",ROUND(MIN(100,Q20*R20*S20/M20*20),1)))</f>
        <v/>
      </c>
      <c r="U20" s="68">
        <f>IF(T20="","",RANK(T20,$T$4:$T$52))</f>
        <v/>
      </c>
      <c r="V20" s="38" t="inlineStr">
        <is>
          <t>Feature</t>
        </is>
      </c>
    </row>
    <row r="21" ht="14.25" customHeight="1" s="39">
      <c r="A21" s="60" t="n"/>
      <c r="B21" s="61" t="n"/>
      <c r="C21" s="60" t="n"/>
      <c r="D21" s="60" t="n"/>
      <c r="E21" s="60" t="n"/>
      <c r="F21" s="60" t="n"/>
      <c r="G21" s="63" t="n"/>
      <c r="H21" s="63" t="n"/>
      <c r="I21" s="63" t="n"/>
      <c r="J21" s="63" t="n"/>
      <c r="K21" s="63" t="n"/>
      <c r="L21" s="63" t="n"/>
      <c r="M21" s="63" t="n"/>
      <c r="N21" s="63" t="n"/>
      <c r="O21" s="65" t="n"/>
      <c r="P21" s="65" t="n"/>
      <c r="Q21" s="66">
        <f>IF(V21="Defect","",IF(COUNT(G21:K21)&lt;5,"",ROUND(G21*Config!$B$4+H21*Config!$B$5+I21*Config!$B$6+J21*Config!$B$7+K21*Config!$B$8,2)))</f>
        <v/>
      </c>
      <c r="R21" s="66">
        <f>IF(L21="","",VLOOKUP(L21,Config!$A$12:$B$21,2,0))</f>
        <v/>
      </c>
      <c r="S21" s="66">
        <f>IF(N21="","",VLOOKUP(N21,Config!$D$12:$E$21,2,0))</f>
        <v/>
      </c>
      <c r="T21" s="67">
        <f>IF(V21="Defect",IF(OR(X21="",G21="",R21=""),"",ROUND(MIN(100,VLOOKUP(X21,Config!$G$12:$H$16,2,0)*VLOOKUP(G21,Config!$I$12:$J$21,2,0)*R21),1)),IF(OR(Q21="",R21="",S21="",M21=""),"",ROUND(MIN(100,Q21*R21*S21/M21*20),1)))</f>
        <v/>
      </c>
      <c r="U21" s="68">
        <f>IF(T21="","",RANK(T21,$T$4:$T$52))</f>
        <v/>
      </c>
      <c r="V21" s="38" t="n"/>
    </row>
    <row r="22" ht="14.25" customHeight="1" s="39">
      <c r="A22" s="60" t="n"/>
      <c r="B22" s="61" t="n"/>
      <c r="C22" s="60" t="n"/>
      <c r="D22" s="60" t="n"/>
      <c r="E22" s="60" t="n"/>
      <c r="F22" s="60" t="n"/>
      <c r="G22" s="63" t="n"/>
      <c r="H22" s="63" t="n"/>
      <c r="I22" s="63" t="n"/>
      <c r="J22" s="63" t="n"/>
      <c r="K22" s="63" t="n"/>
      <c r="L22" s="63" t="n"/>
      <c r="M22" s="63" t="n"/>
      <c r="N22" s="63" t="n"/>
      <c r="O22" s="65" t="n"/>
      <c r="P22" s="65" t="n"/>
      <c r="Q22" s="66">
        <f>IF(V22="Defect","",IF(COUNT(G22:K22)&lt;5,"",ROUND(G22*Config!$B$4+H22*Config!$B$5+I22*Config!$B$6+J22*Config!$B$7+K22*Config!$B$8,2)))</f>
        <v/>
      </c>
      <c r="R22" s="66">
        <f>IF(L22="","",VLOOKUP(L22,Config!$A$12:$B$21,2,0))</f>
        <v/>
      </c>
      <c r="S22" s="66">
        <f>IF(N22="","",VLOOKUP(N22,Config!$D$12:$E$21,2,0))</f>
        <v/>
      </c>
      <c r="T22" s="67">
        <f>IF(V22="Defect",IF(OR(X22="",G22="",R22=""),"",ROUND(MIN(100,VLOOKUP(X22,Config!$G$12:$H$16,2,0)*VLOOKUP(G22,Config!$I$12:$J$21,2,0)*R22),1)),IF(OR(Q22="",R22="",S22="",M22=""),"",ROUND(MIN(100,Q22*R22*S22/M22*20),1)))</f>
        <v/>
      </c>
      <c r="U22" s="68">
        <f>IF(T22="","",RANK(T22,$T$4:$T$52))</f>
        <v/>
      </c>
      <c r="V22" s="38" t="n"/>
    </row>
    <row r="23" ht="14.25" customHeight="1" s="39">
      <c r="A23" s="60" t="n"/>
      <c r="B23" s="61" t="n"/>
      <c r="C23" s="60" t="n"/>
      <c r="D23" s="60" t="n"/>
      <c r="E23" s="60" t="n"/>
      <c r="F23" s="60" t="n"/>
      <c r="G23" s="63" t="n"/>
      <c r="H23" s="63" t="n"/>
      <c r="I23" s="63" t="n"/>
      <c r="J23" s="63" t="n"/>
      <c r="K23" s="63" t="n"/>
      <c r="L23" s="63" t="n"/>
      <c r="M23" s="63" t="n"/>
      <c r="N23" s="63" t="n"/>
      <c r="O23" s="65" t="n"/>
      <c r="P23" s="65" t="n"/>
      <c r="Q23" s="66">
        <f>IF(V23="Defect","",IF(COUNT(G23:K23)&lt;5,"",ROUND(G23*Config!$B$4+H23*Config!$B$5+I23*Config!$B$6+J23*Config!$B$7+K23*Config!$B$8,2)))</f>
        <v/>
      </c>
      <c r="R23" s="66">
        <f>IF(L23="","",VLOOKUP(L23,Config!$A$12:$B$21,2,0))</f>
        <v/>
      </c>
      <c r="S23" s="66">
        <f>IF(N23="","",VLOOKUP(N23,Config!$D$12:$E$21,2,0))</f>
        <v/>
      </c>
      <c r="T23" s="67">
        <f>IF(V23="Defect",IF(OR(X23="",G23="",R23=""),"",ROUND(MIN(100,VLOOKUP(X23,Config!$G$12:$H$16,2,0)*VLOOKUP(G23,Config!$I$12:$J$21,2,0)*R23),1)),IF(OR(Q23="",R23="",S23="",M23=""),"",ROUND(MIN(100,Q23*R23*S23/M23*20),1)))</f>
        <v/>
      </c>
      <c r="U23" s="68">
        <f>IF(T23="","",RANK(T23,$T$4:$T$52))</f>
        <v/>
      </c>
      <c r="V23" s="38" t="n"/>
    </row>
    <row r="24" ht="14.25" customHeight="1" s="39">
      <c r="A24" s="60" t="n"/>
      <c r="B24" s="61" t="n"/>
      <c r="C24" s="60" t="n"/>
      <c r="D24" s="60" t="n"/>
      <c r="E24" s="60" t="n"/>
      <c r="F24" s="60" t="n"/>
      <c r="G24" s="63" t="n"/>
      <c r="H24" s="63" t="n"/>
      <c r="I24" s="63" t="n"/>
      <c r="J24" s="63" t="n"/>
      <c r="K24" s="63" t="n"/>
      <c r="L24" s="63" t="n"/>
      <c r="M24" s="63" t="n"/>
      <c r="N24" s="63" t="n"/>
      <c r="O24" s="65" t="n"/>
      <c r="P24" s="65" t="n"/>
      <c r="Q24" s="66">
        <f>IF(V24="Defect","",IF(COUNT(G24:K24)&lt;5,"",ROUND(G24*Config!$B$4+H24*Config!$B$5+I24*Config!$B$6+J24*Config!$B$7+K24*Config!$B$8,2)))</f>
        <v/>
      </c>
      <c r="R24" s="66">
        <f>IF(L24="","",VLOOKUP(L24,Config!$A$12:$B$21,2,0))</f>
        <v/>
      </c>
      <c r="S24" s="66">
        <f>IF(N24="","",VLOOKUP(N24,Config!$D$12:$E$21,2,0))</f>
        <v/>
      </c>
      <c r="T24" s="67">
        <f>IF(V24="Defect",IF(OR(X24="",G24="",R24=""),"",ROUND(MIN(100,VLOOKUP(X24,Config!$G$12:$H$16,2,0)*VLOOKUP(G24,Config!$I$12:$J$21,2,0)*R24),1)),IF(OR(Q24="",R24="",S24="",M24=""),"",ROUND(MIN(100,Q24*R24*S24/M24*20),1)))</f>
        <v/>
      </c>
      <c r="U24" s="68">
        <f>IF(T24="","",RANK(T24,$T$4:$T$52))</f>
        <v/>
      </c>
      <c r="V24" s="38" t="n"/>
    </row>
    <row r="25" ht="14.25" customHeight="1" s="39">
      <c r="A25" s="60" t="n"/>
      <c r="B25" s="61" t="n"/>
      <c r="C25" s="60" t="n"/>
      <c r="D25" s="60" t="n"/>
      <c r="E25" s="60" t="n"/>
      <c r="F25" s="60" t="n"/>
      <c r="G25" s="63" t="n"/>
      <c r="H25" s="63" t="n"/>
      <c r="I25" s="63" t="n"/>
      <c r="J25" s="63" t="n"/>
      <c r="K25" s="63" t="n"/>
      <c r="L25" s="63" t="n"/>
      <c r="M25" s="63" t="n"/>
      <c r="N25" s="63" t="n"/>
      <c r="O25" s="65" t="n"/>
      <c r="P25" s="65" t="n"/>
      <c r="Q25" s="66">
        <f>IF(V25="Defect","",IF(COUNT(G25:K25)&lt;5,"",ROUND(G25*Config!$B$4+H25*Config!$B$5+I25*Config!$B$6+J25*Config!$B$7+K25*Config!$B$8,2)))</f>
        <v/>
      </c>
      <c r="R25" s="66">
        <f>IF(L25="","",VLOOKUP(L25,Config!$A$12:$B$21,2,0))</f>
        <v/>
      </c>
      <c r="S25" s="66">
        <f>IF(N25="","",VLOOKUP(N25,Config!$D$12:$E$21,2,0))</f>
        <v/>
      </c>
      <c r="T25" s="67">
        <f>IF(V25="Defect",IF(OR(X25="",G25="",R25=""),"",ROUND(MIN(100,VLOOKUP(X25,Config!$G$12:$H$16,2,0)*VLOOKUP(G25,Config!$I$12:$J$21,2,0)*R25),1)),IF(OR(Q25="",R25="",S25="",M25=""),"",ROUND(MIN(100,Q25*R25*S25/M25*20),1)))</f>
        <v/>
      </c>
      <c r="U25" s="68">
        <f>IF(T25="","",RANK(T25,$T$4:$T$52))</f>
        <v/>
      </c>
      <c r="V25" s="38" t="n"/>
    </row>
    <row r="26" ht="14.25" customHeight="1" s="39">
      <c r="A26" s="60" t="n"/>
      <c r="B26" s="61" t="n"/>
      <c r="C26" s="60" t="n"/>
      <c r="D26" s="60" t="n"/>
      <c r="E26" s="60" t="n"/>
      <c r="F26" s="60" t="n"/>
      <c r="G26" s="63" t="n"/>
      <c r="H26" s="63" t="n"/>
      <c r="I26" s="63" t="n"/>
      <c r="J26" s="63" t="n"/>
      <c r="K26" s="63" t="n"/>
      <c r="L26" s="63" t="n"/>
      <c r="M26" s="63" t="n"/>
      <c r="N26" s="63" t="n"/>
      <c r="O26" s="65" t="n"/>
      <c r="P26" s="65" t="n"/>
      <c r="Q26" s="66">
        <f>IF(V26="Defect","",IF(COUNT(G26:K26)&lt;5,"",ROUND(G26*Config!$B$4+H26*Config!$B$5+I26*Config!$B$6+J26*Config!$B$7+K26*Config!$B$8,2)))</f>
        <v/>
      </c>
      <c r="R26" s="66">
        <f>IF(L26="","",VLOOKUP(L26,Config!$A$12:$B$21,2,0))</f>
        <v/>
      </c>
      <c r="S26" s="66">
        <f>IF(N26="","",VLOOKUP(N26,Config!$D$12:$E$21,2,0))</f>
        <v/>
      </c>
      <c r="T26" s="67">
        <f>IF(V26="Defect",IF(OR(X26="",G26="",R26=""),"",ROUND(MIN(100,VLOOKUP(X26,Config!$G$12:$H$16,2,0)*VLOOKUP(G26,Config!$I$12:$J$21,2,0)*R26),1)),IF(OR(Q26="",R26="",S26="",M26=""),"",ROUND(MIN(100,Q26*R26*S26/M26*20),1)))</f>
        <v/>
      </c>
      <c r="U26" s="68">
        <f>IF(T26="","",RANK(T26,$T$4:$T$52))</f>
        <v/>
      </c>
      <c r="V26" s="38" t="n"/>
    </row>
    <row r="27" ht="14.25" customHeight="1" s="39">
      <c r="A27" s="60" t="n"/>
      <c r="B27" s="61" t="n"/>
      <c r="C27" s="60" t="n"/>
      <c r="D27" s="60" t="n"/>
      <c r="E27" s="60" t="n"/>
      <c r="F27" s="60" t="n"/>
      <c r="G27" s="63" t="n"/>
      <c r="H27" s="63" t="n"/>
      <c r="I27" s="63" t="n"/>
      <c r="J27" s="63" t="n"/>
      <c r="K27" s="63" t="n"/>
      <c r="L27" s="63" t="n"/>
      <c r="M27" s="63" t="n"/>
      <c r="N27" s="63" t="n"/>
      <c r="O27" s="65" t="n"/>
      <c r="P27" s="65" t="n"/>
      <c r="Q27" s="66">
        <f>IF(V27="Defect","",IF(COUNT(G27:K27)&lt;5,"",ROUND(G27*Config!$B$4+H27*Config!$B$5+I27*Config!$B$6+J27*Config!$B$7+K27*Config!$B$8,2)))</f>
        <v/>
      </c>
      <c r="R27" s="66">
        <f>IF(L27="","",VLOOKUP(L27,Config!$A$12:$B$21,2,0))</f>
        <v/>
      </c>
      <c r="S27" s="66">
        <f>IF(N27="","",VLOOKUP(N27,Config!$D$12:$E$21,2,0))</f>
        <v/>
      </c>
      <c r="T27" s="67">
        <f>IF(V27="Defect",IF(OR(X27="",G27="",R27=""),"",ROUND(MIN(100,VLOOKUP(X27,Config!$G$12:$H$16,2,0)*VLOOKUP(G27,Config!$I$12:$J$21,2,0)*R27),1)),IF(OR(Q27="",R27="",S27="",M27=""),"",ROUND(MIN(100,Q27*R27*S27/M27*20),1)))</f>
        <v/>
      </c>
      <c r="U27" s="68">
        <f>IF(T27="","",RANK(T27,$T$4:$T$52))</f>
        <v/>
      </c>
      <c r="V27" s="38" t="n"/>
    </row>
    <row r="28" ht="14.25" customHeight="1" s="39">
      <c r="A28" s="60" t="n"/>
      <c r="B28" s="61" t="n"/>
      <c r="C28" s="60" t="n"/>
      <c r="D28" s="60" t="n"/>
      <c r="E28" s="60" t="n"/>
      <c r="F28" s="60" t="n"/>
      <c r="G28" s="63" t="n"/>
      <c r="H28" s="63" t="n"/>
      <c r="I28" s="63" t="n"/>
      <c r="J28" s="63" t="n"/>
      <c r="K28" s="63" t="n"/>
      <c r="L28" s="63" t="n"/>
      <c r="M28" s="63" t="n"/>
      <c r="N28" s="63" t="n"/>
      <c r="O28" s="65" t="n"/>
      <c r="P28" s="65" t="n"/>
      <c r="Q28" s="66">
        <f>IF(V28="Defect","",IF(COUNT(G28:K28)&lt;5,"",ROUND(G28*Config!$B$4+H28*Config!$B$5+I28*Config!$B$6+J28*Config!$B$7+K28*Config!$B$8,2)))</f>
        <v/>
      </c>
      <c r="R28" s="66">
        <f>IF(L28="","",VLOOKUP(L28,Config!$A$12:$B$21,2,0))</f>
        <v/>
      </c>
      <c r="S28" s="66">
        <f>IF(N28="","",VLOOKUP(N28,Config!$D$12:$E$21,2,0))</f>
        <v/>
      </c>
      <c r="T28" s="67">
        <f>IF(V28="Defect",IF(OR(X28="",G28="",R28=""),"",ROUND(MIN(100,VLOOKUP(X28,Config!$G$12:$H$16,2,0)*VLOOKUP(G28,Config!$I$12:$J$21,2,0)*R28),1)),IF(OR(Q28="",R28="",S28="",M28=""),"",ROUND(MIN(100,Q28*R28*S28/M28*20),1)))</f>
        <v/>
      </c>
      <c r="U28" s="68">
        <f>IF(T28="","",RANK(T28,$T$4:$T$52))</f>
        <v/>
      </c>
      <c r="V28" s="38" t="n"/>
    </row>
    <row r="29" ht="14.25" customHeight="1" s="39">
      <c r="A29" s="60" t="n"/>
      <c r="B29" s="61" t="n"/>
      <c r="C29" s="60" t="n"/>
      <c r="D29" s="60" t="n"/>
      <c r="E29" s="60" t="n"/>
      <c r="F29" s="60" t="n"/>
      <c r="G29" s="63" t="n"/>
      <c r="H29" s="63" t="n"/>
      <c r="I29" s="63" t="n"/>
      <c r="J29" s="63" t="n"/>
      <c r="K29" s="63" t="n"/>
      <c r="L29" s="63" t="n"/>
      <c r="M29" s="63" t="n"/>
      <c r="N29" s="63" t="n"/>
      <c r="O29" s="65" t="n"/>
      <c r="P29" s="65" t="n"/>
      <c r="Q29" s="66">
        <f>IF(V29="Defect","",IF(COUNT(G29:K29)&lt;5,"",ROUND(G29*Config!$B$4+H29*Config!$B$5+I29*Config!$B$6+J29*Config!$B$7+K29*Config!$B$8,2)))</f>
        <v/>
      </c>
      <c r="R29" s="66">
        <f>IF(L29="","",VLOOKUP(L29,Config!$A$12:$B$21,2,0))</f>
        <v/>
      </c>
      <c r="S29" s="66">
        <f>IF(N29="","",VLOOKUP(N29,Config!$D$12:$E$21,2,0))</f>
        <v/>
      </c>
      <c r="T29" s="67">
        <f>IF(V29="Defect",IF(OR(X29="",G29="",R29=""),"",ROUND(MIN(100,VLOOKUP(X29,Config!$G$12:$H$16,2,0)*VLOOKUP(G29,Config!$I$12:$J$21,2,0)*R29),1)),IF(OR(Q29="",R29="",S29="",M29=""),"",ROUND(MIN(100,Q29*R29*S29/M29*20),1)))</f>
        <v/>
      </c>
      <c r="U29" s="68">
        <f>IF(T29="","",RANK(T29,$T$4:$T$52))</f>
        <v/>
      </c>
      <c r="V29" s="38" t="n"/>
    </row>
    <row r="30" ht="14.25" customHeight="1" s="39">
      <c r="A30" s="60" t="n"/>
      <c r="B30" s="61" t="n"/>
      <c r="C30" s="60" t="n"/>
      <c r="D30" s="60" t="n"/>
      <c r="E30" s="60" t="n"/>
      <c r="F30" s="60" t="n"/>
      <c r="G30" s="63" t="n"/>
      <c r="H30" s="63" t="n"/>
      <c r="I30" s="63" t="n"/>
      <c r="J30" s="63" t="n"/>
      <c r="K30" s="63" t="n"/>
      <c r="L30" s="63" t="n"/>
      <c r="M30" s="63" t="n"/>
      <c r="N30" s="63" t="n"/>
      <c r="O30" s="65" t="n"/>
      <c r="P30" s="65" t="n"/>
      <c r="Q30" s="66">
        <f>IF(V30="Defect","",IF(COUNT(G30:K30)&lt;5,"",ROUND(G30*Config!$B$4+H30*Config!$B$5+I30*Config!$B$6+J30*Config!$B$7+K30*Config!$B$8,2)))</f>
        <v/>
      </c>
      <c r="R30" s="66">
        <f>IF(L30="","",VLOOKUP(L30,Config!$A$12:$B$21,2,0))</f>
        <v/>
      </c>
      <c r="S30" s="66">
        <f>IF(N30="","",VLOOKUP(N30,Config!$D$12:$E$21,2,0))</f>
        <v/>
      </c>
      <c r="T30" s="67">
        <f>IF(V30="Defect",IF(OR(X30="",G30="",R30=""),"",ROUND(MIN(100,VLOOKUP(X30,Config!$G$12:$H$16,2,0)*VLOOKUP(G30,Config!$I$12:$J$21,2,0)*R30),1)),IF(OR(Q30="",R30="",S30="",M30=""),"",ROUND(MIN(100,Q30*R30*S30/M30*20),1)))</f>
        <v/>
      </c>
      <c r="U30" s="68">
        <f>IF(T30="","",RANK(T30,$T$4:$T$52))</f>
        <v/>
      </c>
      <c r="V30" s="38" t="n"/>
    </row>
    <row r="31" ht="14.25" customHeight="1" s="39">
      <c r="A31" s="60" t="n"/>
      <c r="B31" s="61" t="n"/>
      <c r="C31" s="60" t="n"/>
      <c r="D31" s="60" t="n"/>
      <c r="E31" s="60" t="n"/>
      <c r="F31" s="60" t="n"/>
      <c r="G31" s="63" t="n"/>
      <c r="H31" s="63" t="n"/>
      <c r="I31" s="63" t="n"/>
      <c r="J31" s="63" t="n"/>
      <c r="K31" s="63" t="n"/>
      <c r="L31" s="63" t="n"/>
      <c r="M31" s="63" t="n"/>
      <c r="N31" s="63" t="n"/>
      <c r="O31" s="65" t="n"/>
      <c r="P31" s="65" t="n"/>
      <c r="Q31" s="66">
        <f>IF(V31="Defect","",IF(COUNT(G31:K31)&lt;5,"",ROUND(G31*Config!$B$4+H31*Config!$B$5+I31*Config!$B$6+J31*Config!$B$7+K31*Config!$B$8,2)))</f>
        <v/>
      </c>
      <c r="R31" s="66">
        <f>IF(L31="","",VLOOKUP(L31,Config!$A$12:$B$21,2,0))</f>
        <v/>
      </c>
      <c r="S31" s="66">
        <f>IF(N31="","",VLOOKUP(N31,Config!$D$12:$E$21,2,0))</f>
        <v/>
      </c>
      <c r="T31" s="67">
        <f>IF(V31="Defect",IF(OR(X31="",G31="",R31=""),"",ROUND(MIN(100,VLOOKUP(X31,Config!$G$12:$H$16,2,0)*VLOOKUP(G31,Config!$I$12:$J$21,2,0)*R31),1)),IF(OR(Q31="",R31="",S31="",M31=""),"",ROUND(MIN(100,Q31*R31*S31/M31*20),1)))</f>
        <v/>
      </c>
      <c r="U31" s="68">
        <f>IF(T31="","",RANK(T31,$T$4:$T$52))</f>
        <v/>
      </c>
      <c r="V31" s="38" t="n"/>
    </row>
    <row r="32" ht="14.25" customHeight="1" s="39">
      <c r="A32" s="60" t="n"/>
      <c r="B32" s="61" t="n"/>
      <c r="C32" s="60" t="n"/>
      <c r="D32" s="60" t="n"/>
      <c r="E32" s="60" t="n"/>
      <c r="F32" s="60" t="n"/>
      <c r="G32" s="63" t="n"/>
      <c r="H32" s="63" t="n"/>
      <c r="I32" s="63" t="n"/>
      <c r="J32" s="63" t="n"/>
      <c r="K32" s="63" t="n"/>
      <c r="L32" s="63" t="n"/>
      <c r="M32" s="63" t="n"/>
      <c r="N32" s="63" t="n"/>
      <c r="O32" s="65" t="n"/>
      <c r="P32" s="65" t="n"/>
      <c r="Q32" s="66">
        <f>IF(V32="Defect","",IF(COUNT(G32:K32)&lt;5,"",ROUND(G32*Config!$B$4+H32*Config!$B$5+I32*Config!$B$6+J32*Config!$B$7+K32*Config!$B$8,2)))</f>
        <v/>
      </c>
      <c r="R32" s="66">
        <f>IF(L32="","",VLOOKUP(L32,Config!$A$12:$B$21,2,0))</f>
        <v/>
      </c>
      <c r="S32" s="66">
        <f>IF(N32="","",VLOOKUP(N32,Config!$D$12:$E$21,2,0))</f>
        <v/>
      </c>
      <c r="T32" s="67">
        <f>IF(V32="Defect",IF(OR(X32="",G32="",R32=""),"",ROUND(MIN(100,VLOOKUP(X32,Config!$G$12:$H$16,2,0)*VLOOKUP(G32,Config!$I$12:$J$21,2,0)*R32),1)),IF(OR(Q32="",R32="",S32="",M32=""),"",ROUND(MIN(100,Q32*R32*S32/M32*20),1)))</f>
        <v/>
      </c>
      <c r="U32" s="68">
        <f>IF(T32="","",RANK(T32,$T$4:$T$52))</f>
        <v/>
      </c>
      <c r="V32" s="38" t="n"/>
    </row>
    <row r="33" ht="14.25" customHeight="1" s="39">
      <c r="A33" s="60" t="n"/>
      <c r="B33" s="61" t="n"/>
      <c r="C33" s="60" t="n"/>
      <c r="D33" s="60" t="n"/>
      <c r="E33" s="60" t="n"/>
      <c r="F33" s="60" t="n"/>
      <c r="G33" s="63" t="n"/>
      <c r="H33" s="63" t="n"/>
      <c r="I33" s="63" t="n"/>
      <c r="J33" s="63" t="n"/>
      <c r="K33" s="63" t="n"/>
      <c r="L33" s="63" t="n"/>
      <c r="M33" s="63" t="n"/>
      <c r="N33" s="63" t="n"/>
      <c r="O33" s="65" t="n"/>
      <c r="P33" s="65" t="n"/>
      <c r="Q33" s="66">
        <f>IF(V33="Defect","",IF(COUNT(G33:K33)&lt;5,"",ROUND(G33*Config!$B$4+H33*Config!$B$5+I33*Config!$B$6+J33*Config!$B$7+K33*Config!$B$8,2)))</f>
        <v/>
      </c>
      <c r="R33" s="66">
        <f>IF(L33="","",VLOOKUP(L33,Config!$A$12:$B$21,2,0))</f>
        <v/>
      </c>
      <c r="S33" s="66">
        <f>IF(N33="","",VLOOKUP(N33,Config!$D$12:$E$21,2,0))</f>
        <v/>
      </c>
      <c r="T33" s="67">
        <f>IF(V33="Defect",IF(OR(X33="",G33="",R33=""),"",ROUND(MIN(100,VLOOKUP(X33,Config!$G$12:$H$16,2,0)*VLOOKUP(G33,Config!$I$12:$J$21,2,0)*R33),1)),IF(OR(Q33="",R33="",S33="",M33=""),"",ROUND(MIN(100,Q33*R33*S33/M33*20),1)))</f>
        <v/>
      </c>
      <c r="U33" s="68">
        <f>IF(T33="","",RANK(T33,$T$4:$T$52))</f>
        <v/>
      </c>
      <c r="V33" s="38" t="n"/>
    </row>
    <row r="34" ht="14.25" customHeight="1" s="39">
      <c r="A34" s="60" t="n"/>
      <c r="B34" s="61" t="n"/>
      <c r="C34" s="60" t="n"/>
      <c r="D34" s="60" t="n"/>
      <c r="E34" s="60" t="n"/>
      <c r="F34" s="60" t="n"/>
      <c r="G34" s="63" t="n"/>
      <c r="H34" s="63" t="n"/>
      <c r="I34" s="63" t="n"/>
      <c r="J34" s="63" t="n"/>
      <c r="K34" s="63" t="n"/>
      <c r="L34" s="63" t="n"/>
      <c r="M34" s="63" t="n"/>
      <c r="N34" s="63" t="n"/>
      <c r="O34" s="65" t="n"/>
      <c r="P34" s="65" t="n"/>
      <c r="Q34" s="66">
        <f>IF(V34="Defect","",IF(COUNT(G34:K34)&lt;5,"",ROUND(G34*Config!$B$4+H34*Config!$B$5+I34*Config!$B$6+J34*Config!$B$7+K34*Config!$B$8,2)))</f>
        <v/>
      </c>
      <c r="R34" s="66">
        <f>IF(L34="","",VLOOKUP(L34,Config!$A$12:$B$21,2,0))</f>
        <v/>
      </c>
      <c r="S34" s="66">
        <f>IF(N34="","",VLOOKUP(N34,Config!$D$12:$E$21,2,0))</f>
        <v/>
      </c>
      <c r="T34" s="67">
        <f>IF(V34="Defect",IF(OR(X34="",G34="",R34=""),"",ROUND(MIN(100,VLOOKUP(X34,Config!$G$12:$H$16,2,0)*VLOOKUP(G34,Config!$I$12:$J$21,2,0)*R34),1)),IF(OR(Q34="",R34="",S34="",M34=""),"",ROUND(MIN(100,Q34*R34*S34/M34*20),1)))</f>
        <v/>
      </c>
      <c r="U34" s="68">
        <f>IF(T34="","",RANK(T34,$T$4:$T$52))</f>
        <v/>
      </c>
      <c r="V34" s="38" t="n"/>
    </row>
    <row r="35" ht="14.25" customHeight="1" s="39">
      <c r="A35" s="60" t="n"/>
      <c r="B35" s="61" t="n"/>
      <c r="C35" s="60" t="n"/>
      <c r="D35" s="60" t="n"/>
      <c r="E35" s="60" t="n"/>
      <c r="F35" s="60" t="n"/>
      <c r="G35" s="63" t="n"/>
      <c r="H35" s="63" t="n"/>
      <c r="I35" s="63" t="n"/>
      <c r="J35" s="63" t="n"/>
      <c r="K35" s="63" t="n"/>
      <c r="L35" s="63" t="n"/>
      <c r="M35" s="63" t="n"/>
      <c r="N35" s="63" t="n"/>
      <c r="O35" s="65" t="n"/>
      <c r="P35" s="65" t="n"/>
      <c r="Q35" s="66">
        <f>IF(V35="Defect","",IF(COUNT(G35:K35)&lt;5,"",ROUND(G35*Config!$B$4+H35*Config!$B$5+I35*Config!$B$6+J35*Config!$B$7+K35*Config!$B$8,2)))</f>
        <v/>
      </c>
      <c r="R35" s="66">
        <f>IF(L35="","",VLOOKUP(L35,Config!$A$12:$B$21,2,0))</f>
        <v/>
      </c>
      <c r="S35" s="66">
        <f>IF(N35="","",VLOOKUP(N35,Config!$D$12:$E$21,2,0))</f>
        <v/>
      </c>
      <c r="T35" s="67">
        <f>IF(V35="Defect",IF(OR(X35="",G35="",R35=""),"",ROUND(MIN(100,VLOOKUP(X35,Config!$G$12:$H$16,2,0)*VLOOKUP(G35,Config!$I$12:$J$21,2,0)*R35),1)),IF(OR(Q35="",R35="",S35="",M35=""),"",ROUND(MIN(100,Q35*R35*S35/M35*20),1)))</f>
        <v/>
      </c>
      <c r="U35" s="68">
        <f>IF(T35="","",RANK(T35,$T$4:$T$52))</f>
        <v/>
      </c>
      <c r="V35" s="38" t="n"/>
    </row>
    <row r="36" ht="14.25" customHeight="1" s="39">
      <c r="A36" s="60" t="n"/>
      <c r="B36" s="61" t="n"/>
      <c r="C36" s="60" t="n"/>
      <c r="D36" s="60" t="n"/>
      <c r="E36" s="60" t="n"/>
      <c r="F36" s="60" t="n"/>
      <c r="G36" s="63" t="n"/>
      <c r="H36" s="63" t="n"/>
      <c r="I36" s="63" t="n"/>
      <c r="J36" s="63" t="n"/>
      <c r="K36" s="63" t="n"/>
      <c r="L36" s="63" t="n"/>
      <c r="M36" s="63" t="n"/>
      <c r="N36" s="63" t="n"/>
      <c r="O36" s="65" t="n"/>
      <c r="P36" s="65" t="n"/>
      <c r="Q36" s="66">
        <f>IF(V36="Defect","",IF(COUNT(G36:K36)&lt;5,"",ROUND(G36*Config!$B$4+H36*Config!$B$5+I36*Config!$B$6+J36*Config!$B$7+K36*Config!$B$8,2)))</f>
        <v/>
      </c>
      <c r="R36" s="66">
        <f>IF(L36="","",VLOOKUP(L36,Config!$A$12:$B$21,2,0))</f>
        <v/>
      </c>
      <c r="S36" s="66">
        <f>IF(N36="","",VLOOKUP(N36,Config!$D$12:$E$21,2,0))</f>
        <v/>
      </c>
      <c r="T36" s="67">
        <f>IF(V36="Defect",IF(OR(X36="",G36="",R36=""),"",ROUND(MIN(100,VLOOKUP(X36,Config!$G$12:$H$16,2,0)*VLOOKUP(G36,Config!$I$12:$J$21,2,0)*R36),1)),IF(OR(Q36="",R36="",S36="",M36=""),"",ROUND(MIN(100,Q36*R36*S36/M36*20),1)))</f>
        <v/>
      </c>
      <c r="U36" s="68">
        <f>IF(T36="","",RANK(T36,$T$4:$T$52))</f>
        <v/>
      </c>
      <c r="V36" s="38" t="n"/>
    </row>
    <row r="37" ht="14.25" customHeight="1" s="39">
      <c r="A37" s="60" t="n"/>
      <c r="B37" s="61" t="n"/>
      <c r="C37" s="60" t="n"/>
      <c r="D37" s="60" t="n"/>
      <c r="E37" s="60" t="n"/>
      <c r="F37" s="60" t="n"/>
      <c r="G37" s="63" t="n"/>
      <c r="H37" s="63" t="n"/>
      <c r="I37" s="63" t="n"/>
      <c r="J37" s="63" t="n"/>
      <c r="K37" s="63" t="n"/>
      <c r="L37" s="63" t="n"/>
      <c r="M37" s="63" t="n"/>
      <c r="N37" s="63" t="n"/>
      <c r="O37" s="65" t="n"/>
      <c r="P37" s="65" t="n"/>
      <c r="Q37" s="66">
        <f>IF(V37="Defect","",IF(COUNT(G37:K37)&lt;5,"",ROUND(G37*Config!$B$4+H37*Config!$B$5+I37*Config!$B$6+J37*Config!$B$7+K37*Config!$B$8,2)))</f>
        <v/>
      </c>
      <c r="R37" s="66">
        <f>IF(L37="","",VLOOKUP(L37,Config!$A$12:$B$21,2,0))</f>
        <v/>
      </c>
      <c r="S37" s="66">
        <f>IF(N37="","",VLOOKUP(N37,Config!$D$12:$E$21,2,0))</f>
        <v/>
      </c>
      <c r="T37" s="67">
        <f>IF(V37="Defect",IF(OR(X37="",G37="",R37=""),"",ROUND(MIN(100,VLOOKUP(X37,Config!$G$12:$H$16,2,0)*VLOOKUP(G37,Config!$I$12:$J$21,2,0)*R37),1)),IF(OR(Q37="",R37="",S37="",M37=""),"",ROUND(MIN(100,Q37*R37*S37/M37*20),1)))</f>
        <v/>
      </c>
      <c r="U37" s="68">
        <f>IF(T37="","",RANK(T37,$T$4:$T$52))</f>
        <v/>
      </c>
      <c r="V37" s="38" t="n"/>
    </row>
    <row r="38" ht="14.25" customHeight="1" s="39">
      <c r="A38" s="60" t="n"/>
      <c r="B38" s="61" t="n"/>
      <c r="C38" s="60" t="n"/>
      <c r="D38" s="60" t="n"/>
      <c r="E38" s="60" t="n"/>
      <c r="F38" s="60" t="n"/>
      <c r="G38" s="63" t="n"/>
      <c r="H38" s="63" t="n"/>
      <c r="I38" s="63" t="n"/>
      <c r="J38" s="63" t="n"/>
      <c r="K38" s="63" t="n"/>
      <c r="L38" s="63" t="n"/>
      <c r="M38" s="63" t="n"/>
      <c r="N38" s="63" t="n"/>
      <c r="O38" s="65" t="n"/>
      <c r="P38" s="65" t="n"/>
      <c r="Q38" s="66">
        <f>IF(V38="Defect","",IF(COUNT(G38:K38)&lt;5,"",ROUND(G38*Config!$B$4+H38*Config!$B$5+I38*Config!$B$6+J38*Config!$B$7+K38*Config!$B$8,2)))</f>
        <v/>
      </c>
      <c r="R38" s="66">
        <f>IF(L38="","",VLOOKUP(L38,Config!$A$12:$B$21,2,0))</f>
        <v/>
      </c>
      <c r="S38" s="66">
        <f>IF(N38="","",VLOOKUP(N38,Config!$D$12:$E$21,2,0))</f>
        <v/>
      </c>
      <c r="T38" s="67">
        <f>IF(V38="Defect",IF(OR(X38="",G38="",R38=""),"",ROUND(MIN(100,VLOOKUP(X38,Config!$G$12:$H$16,2,0)*VLOOKUP(G38,Config!$I$12:$J$21,2,0)*R38),1)),IF(OR(Q38="",R38="",S38="",M38=""),"",ROUND(MIN(100,Q38*R38*S38/M38*20),1)))</f>
        <v/>
      </c>
      <c r="U38" s="68">
        <f>IF(T38="","",RANK(T38,$T$4:$T$52))</f>
        <v/>
      </c>
      <c r="V38" s="38" t="n"/>
    </row>
    <row r="39" ht="14.25" customHeight="1" s="39">
      <c r="A39" s="60" t="n"/>
      <c r="B39" s="61" t="n"/>
      <c r="C39" s="60" t="n"/>
      <c r="D39" s="60" t="n"/>
      <c r="E39" s="60" t="n"/>
      <c r="F39" s="60" t="n"/>
      <c r="G39" s="63" t="n"/>
      <c r="H39" s="63" t="n"/>
      <c r="I39" s="63" t="n"/>
      <c r="J39" s="63" t="n"/>
      <c r="K39" s="63" t="n"/>
      <c r="L39" s="63" t="n"/>
      <c r="M39" s="63" t="n"/>
      <c r="N39" s="63" t="n"/>
      <c r="O39" s="65" t="n"/>
      <c r="P39" s="65" t="n"/>
      <c r="Q39" s="66">
        <f>IF(V39="Defect","",IF(COUNT(G39:K39)&lt;5,"",ROUND(G39*Config!$B$4+H39*Config!$B$5+I39*Config!$B$6+J39*Config!$B$7+K39*Config!$B$8,2)))</f>
        <v/>
      </c>
      <c r="R39" s="66">
        <f>IF(L39="","",VLOOKUP(L39,Config!$A$12:$B$21,2,0))</f>
        <v/>
      </c>
      <c r="S39" s="66">
        <f>IF(N39="","",VLOOKUP(N39,Config!$D$12:$E$21,2,0))</f>
        <v/>
      </c>
      <c r="T39" s="67">
        <f>IF(V39="Defect",IF(OR(X39="",G39="",R39=""),"",ROUND(MIN(100,VLOOKUP(X39,Config!$G$12:$H$16,2,0)*VLOOKUP(G39,Config!$I$12:$J$21,2,0)*R39),1)),IF(OR(Q39="",R39="",S39="",M39=""),"",ROUND(MIN(100,Q39*R39*S39/M39*20),1)))</f>
        <v/>
      </c>
      <c r="U39" s="68">
        <f>IF(T39="","",RANK(T39,$T$4:$T$52))</f>
        <v/>
      </c>
      <c r="V39" s="38" t="n"/>
    </row>
    <row r="40" ht="14.25" customHeight="1" s="39">
      <c r="A40" s="60" t="n"/>
      <c r="B40" s="61" t="n"/>
      <c r="C40" s="60" t="n"/>
      <c r="D40" s="60" t="n"/>
      <c r="E40" s="60" t="n"/>
      <c r="F40" s="60" t="n"/>
      <c r="G40" s="63" t="n"/>
      <c r="H40" s="63" t="n"/>
      <c r="I40" s="63" t="n"/>
      <c r="J40" s="63" t="n"/>
      <c r="K40" s="63" t="n"/>
      <c r="L40" s="63" t="n"/>
      <c r="M40" s="63" t="n"/>
      <c r="N40" s="63" t="n"/>
      <c r="O40" s="65" t="n"/>
      <c r="P40" s="65" t="n"/>
      <c r="Q40" s="66">
        <f>IF(V40="Defect","",IF(COUNT(G40:K40)&lt;5,"",ROUND(G40*Config!$B$4+H40*Config!$B$5+I40*Config!$B$6+J40*Config!$B$7+K40*Config!$B$8,2)))</f>
        <v/>
      </c>
      <c r="R40" s="66">
        <f>IF(L40="","",VLOOKUP(L40,Config!$A$12:$B$21,2,0))</f>
        <v/>
      </c>
      <c r="S40" s="66">
        <f>IF(N40="","",VLOOKUP(N40,Config!$D$12:$E$21,2,0))</f>
        <v/>
      </c>
      <c r="T40" s="67">
        <f>IF(V40="Defect",IF(OR(X40="",G40="",R40=""),"",ROUND(MIN(100,VLOOKUP(X40,Config!$G$12:$H$16,2,0)*VLOOKUP(G40,Config!$I$12:$J$21,2,0)*R40),1)),IF(OR(Q40="",R40="",S40="",M40=""),"",ROUND(MIN(100,Q40*R40*S40/M40*20),1)))</f>
        <v/>
      </c>
      <c r="U40" s="68">
        <f>IF(T40="","",RANK(T40,$T$4:$T$52))</f>
        <v/>
      </c>
      <c r="V40" s="38" t="n"/>
    </row>
    <row r="41" ht="14.25" customHeight="1" s="39">
      <c r="A41" s="60" t="n"/>
      <c r="B41" s="61" t="n"/>
      <c r="C41" s="60" t="n"/>
      <c r="D41" s="60" t="n"/>
      <c r="E41" s="60" t="n"/>
      <c r="F41" s="60" t="n"/>
      <c r="G41" s="63" t="n"/>
      <c r="H41" s="63" t="n"/>
      <c r="I41" s="63" t="n"/>
      <c r="J41" s="63" t="n"/>
      <c r="K41" s="63" t="n"/>
      <c r="L41" s="63" t="n"/>
      <c r="M41" s="63" t="n"/>
      <c r="N41" s="63" t="n"/>
      <c r="O41" s="65" t="n"/>
      <c r="P41" s="65" t="n"/>
      <c r="Q41" s="66">
        <f>IF(V41="Defect","",IF(COUNT(G41:K41)&lt;5,"",ROUND(G41*Config!$B$4+H41*Config!$B$5+I41*Config!$B$6+J41*Config!$B$7+K41*Config!$B$8,2)))</f>
        <v/>
      </c>
      <c r="R41" s="66">
        <f>IF(L41="","",VLOOKUP(L41,Config!$A$12:$B$21,2,0))</f>
        <v/>
      </c>
      <c r="S41" s="66">
        <f>IF(N41="","",VLOOKUP(N41,Config!$D$12:$E$21,2,0))</f>
        <v/>
      </c>
      <c r="T41" s="67">
        <f>IF(V41="Defect",IF(OR(X41="",G41="",R41=""),"",ROUND(MIN(100,VLOOKUP(X41,Config!$G$12:$H$16,2,0)*VLOOKUP(G41,Config!$I$12:$J$21,2,0)*R41),1)),IF(OR(Q41="",R41="",S41="",M41=""),"",ROUND(MIN(100,Q41*R41*S41/M41*20),1)))</f>
        <v/>
      </c>
      <c r="U41" s="68">
        <f>IF(T41="","",RANK(T41,$T$4:$T$52))</f>
        <v/>
      </c>
      <c r="V41" s="38" t="n"/>
    </row>
    <row r="42" ht="14.25" customHeight="1" s="39">
      <c r="A42" s="60" t="n"/>
      <c r="B42" s="61" t="n"/>
      <c r="C42" s="60" t="n"/>
      <c r="D42" s="60" t="n"/>
      <c r="E42" s="60" t="n"/>
      <c r="F42" s="60" t="n"/>
      <c r="G42" s="63" t="n"/>
      <c r="H42" s="63" t="n"/>
      <c r="I42" s="63" t="n"/>
      <c r="J42" s="63" t="n"/>
      <c r="K42" s="63" t="n"/>
      <c r="L42" s="63" t="n"/>
      <c r="M42" s="63" t="n"/>
      <c r="N42" s="63" t="n"/>
      <c r="O42" s="65" t="n"/>
      <c r="P42" s="65" t="n"/>
      <c r="Q42" s="66">
        <f>IF(V42="Defect","",IF(COUNT(G42:K42)&lt;5,"",ROUND(G42*Config!$B$4+H42*Config!$B$5+I42*Config!$B$6+J42*Config!$B$7+K42*Config!$B$8,2)))</f>
        <v/>
      </c>
      <c r="R42" s="66">
        <f>IF(L42="","",VLOOKUP(L42,Config!$A$12:$B$21,2,0))</f>
        <v/>
      </c>
      <c r="S42" s="66">
        <f>IF(N42="","",VLOOKUP(N42,Config!$D$12:$E$21,2,0))</f>
        <v/>
      </c>
      <c r="T42" s="67">
        <f>IF(V42="Defect",IF(OR(X42="",G42="",R42=""),"",ROUND(MIN(100,VLOOKUP(X42,Config!$G$12:$H$16,2,0)*VLOOKUP(G42,Config!$I$12:$J$21,2,0)*R42),1)),IF(OR(Q42="",R42="",S42="",M42=""),"",ROUND(MIN(100,Q42*R42*S42/M42*20),1)))</f>
        <v/>
      </c>
      <c r="U42" s="68">
        <f>IF(T42="","",RANK(T42,$T$4:$T$52))</f>
        <v/>
      </c>
      <c r="V42" s="38" t="n"/>
    </row>
    <row r="43" ht="14.25" customHeight="1" s="39">
      <c r="A43" s="60" t="n"/>
      <c r="B43" s="61" t="n"/>
      <c r="C43" s="60" t="n"/>
      <c r="D43" s="60" t="n"/>
      <c r="E43" s="60" t="n"/>
      <c r="F43" s="60" t="n"/>
      <c r="G43" s="63" t="n"/>
      <c r="H43" s="63" t="n"/>
      <c r="I43" s="63" t="n"/>
      <c r="J43" s="63" t="n"/>
      <c r="K43" s="63" t="n"/>
      <c r="L43" s="63" t="n"/>
      <c r="M43" s="63" t="n"/>
      <c r="N43" s="63" t="n"/>
      <c r="O43" s="65" t="n"/>
      <c r="P43" s="65" t="n"/>
      <c r="Q43" s="66">
        <f>IF(V43="Defect","",IF(COUNT(G43:K43)&lt;5,"",ROUND(G43*Config!$B$4+H43*Config!$B$5+I43*Config!$B$6+J43*Config!$B$7+K43*Config!$B$8,2)))</f>
        <v/>
      </c>
      <c r="R43" s="66">
        <f>IF(L43="","",VLOOKUP(L43,Config!$A$12:$B$21,2,0))</f>
        <v/>
      </c>
      <c r="S43" s="66">
        <f>IF(N43="","",VLOOKUP(N43,Config!$D$12:$E$21,2,0))</f>
        <v/>
      </c>
      <c r="T43" s="67">
        <f>IF(V43="Defect",IF(OR(X43="",G43="",R43=""),"",ROUND(MIN(100,VLOOKUP(X43,Config!$G$12:$H$16,2,0)*VLOOKUP(G43,Config!$I$12:$J$21,2,0)*R43),1)),IF(OR(Q43="",R43="",S43="",M43=""),"",ROUND(MIN(100,Q43*R43*S43/M43*20),1)))</f>
        <v/>
      </c>
      <c r="U43" s="68">
        <f>IF(T43="","",RANK(T43,$T$4:$T$52))</f>
        <v/>
      </c>
      <c r="V43" s="38" t="n"/>
    </row>
    <row r="44" ht="14.25" customHeight="1" s="39">
      <c r="A44" s="60" t="n"/>
      <c r="B44" s="61" t="n"/>
      <c r="C44" s="60" t="n"/>
      <c r="D44" s="60" t="n"/>
      <c r="E44" s="60" t="n"/>
      <c r="F44" s="60" t="n"/>
      <c r="G44" s="63" t="n"/>
      <c r="H44" s="63" t="n"/>
      <c r="I44" s="63" t="n"/>
      <c r="J44" s="63" t="n"/>
      <c r="K44" s="63" t="n"/>
      <c r="L44" s="63" t="n"/>
      <c r="M44" s="63" t="n"/>
      <c r="N44" s="63" t="n"/>
      <c r="O44" s="65" t="n"/>
      <c r="P44" s="65" t="n"/>
      <c r="Q44" s="66">
        <f>IF(V44="Defect","",IF(COUNT(G44:K44)&lt;5,"",ROUND(G44*Config!$B$4+H44*Config!$B$5+I44*Config!$B$6+J44*Config!$B$7+K44*Config!$B$8,2)))</f>
        <v/>
      </c>
      <c r="R44" s="66">
        <f>IF(L44="","",VLOOKUP(L44,Config!$A$12:$B$21,2,0))</f>
        <v/>
      </c>
      <c r="S44" s="66">
        <f>IF(N44="","",VLOOKUP(N44,Config!$D$12:$E$21,2,0))</f>
        <v/>
      </c>
      <c r="T44" s="67">
        <f>IF(V44="Defect",IF(OR(X44="",G44="",R44=""),"",ROUND(MIN(100,VLOOKUP(X44,Config!$G$12:$H$16,2,0)*VLOOKUP(G44,Config!$I$12:$J$21,2,0)*R44),1)),IF(OR(Q44="",R44="",S44="",M44=""),"",ROUND(MIN(100,Q44*R44*S44/M44*20),1)))</f>
        <v/>
      </c>
      <c r="U44" s="68">
        <f>IF(T44="","",RANK(T44,$T$4:$T$52))</f>
        <v/>
      </c>
      <c r="V44" s="38" t="n"/>
    </row>
    <row r="45" ht="14.25" customHeight="1" s="39">
      <c r="A45" s="60" t="n"/>
      <c r="B45" s="61" t="n"/>
      <c r="C45" s="60" t="n"/>
      <c r="D45" s="60" t="n"/>
      <c r="E45" s="60" t="n"/>
      <c r="F45" s="60" t="n"/>
      <c r="G45" s="63" t="n"/>
      <c r="H45" s="63" t="n"/>
      <c r="I45" s="63" t="n"/>
      <c r="J45" s="63" t="n"/>
      <c r="K45" s="63" t="n"/>
      <c r="L45" s="63" t="n"/>
      <c r="M45" s="63" t="n"/>
      <c r="N45" s="63" t="n"/>
      <c r="O45" s="65" t="n"/>
      <c r="P45" s="65" t="n"/>
      <c r="Q45" s="66">
        <f>IF(V45="Defect","",IF(COUNT(G45:K45)&lt;5,"",ROUND(G45*Config!$B$4+H45*Config!$B$5+I45*Config!$B$6+J45*Config!$B$7+K45*Config!$B$8,2)))</f>
        <v/>
      </c>
      <c r="R45" s="66">
        <f>IF(L45="","",VLOOKUP(L45,Config!$A$12:$B$21,2,0))</f>
        <v/>
      </c>
      <c r="S45" s="66">
        <f>IF(N45="","",VLOOKUP(N45,Config!$D$12:$E$21,2,0))</f>
        <v/>
      </c>
      <c r="T45" s="67">
        <f>IF(V45="Defect",IF(OR(X45="",G45="",R45=""),"",ROUND(MIN(100,VLOOKUP(X45,Config!$G$12:$H$16,2,0)*VLOOKUP(G45,Config!$I$12:$J$21,2,0)*R45),1)),IF(OR(Q45="",R45="",S45="",M45=""),"",ROUND(MIN(100,Q45*R45*S45/M45*20),1)))</f>
        <v/>
      </c>
      <c r="U45" s="68">
        <f>IF(T45="","",RANK(T45,$T$4:$T$52))</f>
        <v/>
      </c>
      <c r="V45" s="38" t="n"/>
    </row>
    <row r="46" ht="14.25" customHeight="1" s="39">
      <c r="A46" s="60" t="n"/>
      <c r="B46" s="61" t="n"/>
      <c r="C46" s="60" t="n"/>
      <c r="D46" s="60" t="n"/>
      <c r="E46" s="60" t="n"/>
      <c r="F46" s="60" t="n"/>
      <c r="G46" s="63" t="n"/>
      <c r="H46" s="63" t="n"/>
      <c r="I46" s="63" t="n"/>
      <c r="J46" s="63" t="n"/>
      <c r="K46" s="63" t="n"/>
      <c r="L46" s="63" t="n"/>
      <c r="M46" s="63" t="n"/>
      <c r="N46" s="63" t="n"/>
      <c r="O46" s="65" t="n"/>
      <c r="P46" s="65" t="n"/>
      <c r="Q46" s="66">
        <f>IF(V46="Defect","",IF(COUNT(G46:K46)&lt;5,"",ROUND(G46*Config!$B$4+H46*Config!$B$5+I46*Config!$B$6+J46*Config!$B$7+K46*Config!$B$8,2)))</f>
        <v/>
      </c>
      <c r="R46" s="66">
        <f>IF(L46="","",VLOOKUP(L46,Config!$A$12:$B$21,2,0))</f>
        <v/>
      </c>
      <c r="S46" s="66">
        <f>IF(N46="","",VLOOKUP(N46,Config!$D$12:$E$21,2,0))</f>
        <v/>
      </c>
      <c r="T46" s="67">
        <f>IF(V46="Defect",IF(OR(X46="",G46="",R46=""),"",ROUND(MIN(100,VLOOKUP(X46,Config!$G$12:$H$16,2,0)*VLOOKUP(G46,Config!$I$12:$J$21,2,0)*R46),1)),IF(OR(Q46="",R46="",S46="",M46=""),"",ROUND(MIN(100,Q46*R46*S46/M46*20),1)))</f>
        <v/>
      </c>
      <c r="U46" s="68">
        <f>IF(T46="","",RANK(T46,$T$4:$T$52))</f>
        <v/>
      </c>
      <c r="V46" s="38" t="n"/>
    </row>
    <row r="47" ht="14.25" customHeight="1" s="39">
      <c r="A47" s="60" t="n"/>
      <c r="B47" s="61" t="n"/>
      <c r="C47" s="60" t="n"/>
      <c r="D47" s="60" t="n"/>
      <c r="E47" s="60" t="n"/>
      <c r="F47" s="60" t="n"/>
      <c r="G47" s="63" t="n"/>
      <c r="H47" s="63" t="n"/>
      <c r="I47" s="63" t="n"/>
      <c r="J47" s="63" t="n"/>
      <c r="K47" s="63" t="n"/>
      <c r="L47" s="63" t="n"/>
      <c r="M47" s="63" t="n"/>
      <c r="N47" s="63" t="n"/>
      <c r="O47" s="65" t="n"/>
      <c r="P47" s="65" t="n"/>
      <c r="Q47" s="66">
        <f>IF(V47="Defect","",IF(COUNT(G47:K47)&lt;5,"",ROUND(G47*Config!$B$4+H47*Config!$B$5+I47*Config!$B$6+J47*Config!$B$7+K47*Config!$B$8,2)))</f>
        <v/>
      </c>
      <c r="R47" s="66">
        <f>IF(L47="","",VLOOKUP(L47,Config!$A$12:$B$21,2,0))</f>
        <v/>
      </c>
      <c r="S47" s="66">
        <f>IF(N47="","",VLOOKUP(N47,Config!$D$12:$E$21,2,0))</f>
        <v/>
      </c>
      <c r="T47" s="67">
        <f>IF(V47="Defect",IF(OR(X47="",G47="",R47=""),"",ROUND(MIN(100,VLOOKUP(X47,Config!$G$12:$H$16,2,0)*VLOOKUP(G47,Config!$I$12:$J$21,2,0)*R47),1)),IF(OR(Q47="",R47="",S47="",M47=""),"",ROUND(MIN(100,Q47*R47*S47/M47*20),1)))</f>
        <v/>
      </c>
      <c r="U47" s="68">
        <f>IF(T47="","",RANK(T47,$T$4:$T$52))</f>
        <v/>
      </c>
      <c r="V47" s="38" t="n"/>
    </row>
    <row r="48" ht="14.25" customHeight="1" s="39">
      <c r="A48" s="60" t="n"/>
      <c r="B48" s="61" t="n"/>
      <c r="C48" s="60" t="n"/>
      <c r="D48" s="60" t="n"/>
      <c r="E48" s="60" t="n"/>
      <c r="F48" s="60" t="n"/>
      <c r="G48" s="63" t="n"/>
      <c r="H48" s="63" t="n"/>
      <c r="I48" s="63" t="n"/>
      <c r="J48" s="63" t="n"/>
      <c r="K48" s="63" t="n"/>
      <c r="L48" s="63" t="n"/>
      <c r="M48" s="63" t="n"/>
      <c r="N48" s="63" t="n"/>
      <c r="O48" s="65" t="n"/>
      <c r="P48" s="65" t="n"/>
      <c r="Q48" s="66">
        <f>IF(V48="Defect","",IF(COUNT(G48:K48)&lt;5,"",ROUND(G48*Config!$B$4+H48*Config!$B$5+I48*Config!$B$6+J48*Config!$B$7+K48*Config!$B$8,2)))</f>
        <v/>
      </c>
      <c r="R48" s="66">
        <f>IF(L48="","",VLOOKUP(L48,Config!$A$12:$B$21,2,0))</f>
        <v/>
      </c>
      <c r="S48" s="66">
        <f>IF(N48="","",VLOOKUP(N48,Config!$D$12:$E$21,2,0))</f>
        <v/>
      </c>
      <c r="T48" s="67">
        <f>IF(V48="Defect",IF(OR(X48="",G48="",R48=""),"",ROUND(MIN(100,VLOOKUP(X48,Config!$G$12:$H$16,2,0)*VLOOKUP(G48,Config!$I$12:$J$21,2,0)*R48),1)),IF(OR(Q48="",R48="",S48="",M48=""),"",ROUND(MIN(100,Q48*R48*S48/M48*20),1)))</f>
        <v/>
      </c>
      <c r="U48" s="68">
        <f>IF(T48="","",RANK(T48,$T$4:$T$52))</f>
        <v/>
      </c>
      <c r="V48" s="38" t="n"/>
    </row>
    <row r="49" ht="14.25" customHeight="1" s="39">
      <c r="A49" s="60" t="n"/>
      <c r="B49" s="61" t="n"/>
      <c r="C49" s="60" t="n"/>
      <c r="D49" s="60" t="n"/>
      <c r="E49" s="60" t="n"/>
      <c r="F49" s="60" t="n"/>
      <c r="G49" s="63" t="n"/>
      <c r="H49" s="63" t="n"/>
      <c r="I49" s="63" t="n"/>
      <c r="J49" s="63" t="n"/>
      <c r="K49" s="63" t="n"/>
      <c r="L49" s="63" t="n"/>
      <c r="M49" s="63" t="n"/>
      <c r="N49" s="63" t="n"/>
      <c r="O49" s="65" t="n"/>
      <c r="P49" s="65" t="n"/>
      <c r="Q49" s="66">
        <f>IF(V49="Defect","",IF(COUNT(G49:K49)&lt;5,"",ROUND(G49*Config!$B$4+H49*Config!$B$5+I49*Config!$B$6+J49*Config!$B$7+K49*Config!$B$8,2)))</f>
        <v/>
      </c>
      <c r="R49" s="66">
        <f>IF(L49="","",VLOOKUP(L49,Config!$A$12:$B$21,2,0))</f>
        <v/>
      </c>
      <c r="S49" s="66">
        <f>IF(N49="","",VLOOKUP(N49,Config!$D$12:$E$21,2,0))</f>
        <v/>
      </c>
      <c r="T49" s="67">
        <f>IF(V49="Defect",IF(OR(X49="",G49="",R49=""),"",ROUND(MIN(100,VLOOKUP(X49,Config!$G$12:$H$16,2,0)*VLOOKUP(G49,Config!$I$12:$J$21,2,0)*R49),1)),IF(OR(Q49="",R49="",S49="",M49=""),"",ROUND(MIN(100,Q49*R49*S49/M49*20),1)))</f>
        <v/>
      </c>
      <c r="U49" s="68">
        <f>IF(T49="","",RANK(T49,$T$4:$T$52))</f>
        <v/>
      </c>
      <c r="V49" s="38" t="n"/>
    </row>
    <row r="50" ht="14.25" customHeight="1" s="39">
      <c r="A50" s="60" t="n"/>
      <c r="B50" s="61" t="n"/>
      <c r="C50" s="60" t="n"/>
      <c r="D50" s="60" t="n"/>
      <c r="E50" s="60" t="n"/>
      <c r="F50" s="60" t="n"/>
      <c r="G50" s="63" t="n"/>
      <c r="H50" s="63" t="n"/>
      <c r="I50" s="63" t="n"/>
      <c r="J50" s="63" t="n"/>
      <c r="K50" s="63" t="n"/>
      <c r="L50" s="63" t="n"/>
      <c r="M50" s="63" t="n"/>
      <c r="N50" s="63" t="n"/>
      <c r="O50" s="65" t="n"/>
      <c r="P50" s="65" t="n"/>
      <c r="Q50" s="66">
        <f>IF(V50="Defect","",IF(COUNT(G50:K50)&lt;5,"",ROUND(G50*Config!$B$4+H50*Config!$B$5+I50*Config!$B$6+J50*Config!$B$7+K50*Config!$B$8,2)))</f>
        <v/>
      </c>
      <c r="R50" s="66">
        <f>IF(L50="","",VLOOKUP(L50,Config!$A$12:$B$21,2,0))</f>
        <v/>
      </c>
      <c r="S50" s="66">
        <f>IF(N50="","",VLOOKUP(N50,Config!$D$12:$E$21,2,0))</f>
        <v/>
      </c>
      <c r="T50" s="67">
        <f>IF(V50="Defect",IF(OR(X50="",G50="",R50=""),"",ROUND(MIN(100,VLOOKUP(X50,Config!$G$12:$H$16,2,0)*VLOOKUP(G50,Config!$I$12:$J$21,2,0)*R50),1)),IF(OR(Q50="",R50="",S50="",M50=""),"",ROUND(MIN(100,Q50*R50*S50/M50*20),1)))</f>
        <v/>
      </c>
      <c r="U50" s="68">
        <f>IF(T50="","",RANK(T50,$T$4:$T$52))</f>
        <v/>
      </c>
      <c r="V50" s="38" t="n"/>
    </row>
    <row r="51" ht="14.25" customHeight="1" s="39">
      <c r="A51" s="60" t="n"/>
      <c r="B51" s="61" t="n"/>
      <c r="C51" s="60" t="n"/>
      <c r="D51" s="60" t="n"/>
      <c r="E51" s="60" t="n"/>
      <c r="F51" s="60" t="n"/>
      <c r="G51" s="63" t="n"/>
      <c r="H51" s="63" t="n"/>
      <c r="I51" s="63" t="n"/>
      <c r="J51" s="63" t="n"/>
      <c r="K51" s="63" t="n"/>
      <c r="L51" s="63" t="n"/>
      <c r="M51" s="63" t="n"/>
      <c r="N51" s="63" t="n"/>
      <c r="O51" s="65" t="n"/>
      <c r="P51" s="65" t="n"/>
      <c r="Q51" s="66">
        <f>IF(V51="Defect","",IF(COUNT(G51:K51)&lt;5,"",ROUND(G51*Config!$B$4+H51*Config!$B$5+I51*Config!$B$6+J51*Config!$B$7+K51*Config!$B$8,2)))</f>
        <v/>
      </c>
      <c r="R51" s="66">
        <f>IF(L51="","",VLOOKUP(L51,Config!$A$12:$B$21,2,0))</f>
        <v/>
      </c>
      <c r="S51" s="66">
        <f>IF(N51="","",VLOOKUP(N51,Config!$D$12:$E$21,2,0))</f>
        <v/>
      </c>
      <c r="T51" s="67">
        <f>IF(V51="Defect",IF(OR(X51="",G51="",R51=""),"",ROUND(MIN(100,VLOOKUP(X51,Config!$G$12:$H$16,2,0)*VLOOKUP(G51,Config!$I$12:$J$21,2,0)*R51),1)),IF(OR(Q51="",R51="",S51="",M51=""),"",ROUND(MIN(100,Q51*R51*S51/M51*20),1)))</f>
        <v/>
      </c>
      <c r="U51" s="68">
        <f>IF(T51="","",RANK(T51,$T$4:$T$52))</f>
        <v/>
      </c>
      <c r="V51" s="38" t="n"/>
    </row>
    <row r="52" ht="14.25" customHeight="1" s="39">
      <c r="A52" s="60" t="n"/>
      <c r="B52" s="61" t="n"/>
      <c r="C52" s="60" t="n"/>
      <c r="D52" s="60" t="n"/>
      <c r="E52" s="60" t="n"/>
      <c r="F52" s="60" t="n"/>
      <c r="G52" s="63" t="n"/>
      <c r="H52" s="63" t="n"/>
      <c r="I52" s="63" t="n"/>
      <c r="J52" s="63" t="n"/>
      <c r="K52" s="63" t="n"/>
      <c r="L52" s="63" t="n"/>
      <c r="M52" s="63" t="n"/>
      <c r="N52" s="63" t="n"/>
      <c r="O52" s="65" t="n"/>
      <c r="P52" s="65" t="n"/>
      <c r="Q52" s="66">
        <f>IF(V52="Defect","",IF(COUNT(G52:K52)&lt;5,"",ROUND(G52*Config!$B$4+H52*Config!$B$5+I52*Config!$B$6+J52*Config!$B$7+K52*Config!$B$8,2)))</f>
        <v/>
      </c>
      <c r="R52" s="66">
        <f>IF(L52="","",VLOOKUP(L52,Config!$A$12:$B$21,2,0))</f>
        <v/>
      </c>
      <c r="S52" s="66">
        <f>IF(N52="","",VLOOKUP(N52,Config!$D$12:$E$21,2,0))</f>
        <v/>
      </c>
      <c r="T52" s="67">
        <f>IF(V52="Defect",IF(OR(X52="",G52="",R52=""),"",ROUND(MIN(100,VLOOKUP(X52,Config!$G$12:$H$16,2,0)*VLOOKUP(G52,Config!$I$12:$J$21,2,0)*R52),1)),IF(OR(Q52="",R52="",S52="",M52=""),"",ROUND(MIN(100,Q52*R52*S52/M52*20),1)))</f>
        <v/>
      </c>
      <c r="U52" s="68">
        <f>IF(T52="","",RANK(T52,$T$4:$T$52))</f>
        <v/>
      </c>
      <c r="V52" s="38" t="n"/>
    </row>
  </sheetData>
  <dataValidations count="6">
    <dataValidation sqref="G4:N52" showDropDown="0" showInputMessage="0" showErrorMessage="1" allowBlank="1" error="Scores must be whole numbers 1-5. See Rubric sheet for anchors." type="whole" errorStyle="stop" operator="between">
      <formula1>1</formula1>
      <formula2>10</formula2>
    </dataValidation>
    <dataValidation sqref="E4:E52" showDropDown="0" showInputMessage="0" showErrorMessage="0" allowBlank="1" type="list" errorStyle="stop" operator="between">
      <formula1>"Human,Market Research Agent,Hybrid"</formula1>
      <formula2>0</formula2>
    </dataValidation>
    <dataValidation sqref="D4:D52" showDropDown="0" showInputMessage="0" showErrorMessage="0" allowBlank="1" type="list" errorStyle="stop" operator="between">
      <formula1>"Idea,Brief Drafted,Reported,Triaged,Scored,Prioritized,In Progress,Fixed,Verified,Deferred,Rejected,Won't Fix"</formula1>
      <formula2>0</formula2>
    </dataValidation>
    <dataValidation sqref="V4:V52" showDropDown="0" showInputMessage="0" showErrorMessage="0" allowBlank="1" type="list" errorStyle="stop" operator="between">
      <formula1>"Feature,Defect"</formula1>
      <formula2>0</formula2>
    </dataValidation>
    <dataValidation sqref="W4:W52" showDropDown="0" showInputMessage="0" showErrorMessage="0" allowBlank="1" type="list" errorStyle="stop" operator="between">
      <formula1>"Customer-Reported,Internal"</formula1>
      <formula2>0</formula2>
    </dataValidation>
    <dataValidation sqref="X4:X52" showDropDown="0" showInputMessage="0" showErrorMessage="0" allowBlank="1" prompt="Whole number 1-5; see Rubric Severity row (Defect rows only)." type="whole" errorStyle="stop" operator="between">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display="https://github.com/dispatch-derek/admin-console/issues/7" r:id="rId2"/>
    <hyperlink xmlns:r="http://schemas.openxmlformats.org/officeDocument/2006/relationships" ref="C12" display="https://github.com/dispatch-derek/admin-console/issues/9" r:id="rId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10" activeCellId="0" sqref="F10"/>
    </sheetView>
  </sheetViews>
  <sheetFormatPr baseColWidth="8" defaultColWidth="8.63671875" defaultRowHeight="14.25" customHeight="0" zeroHeight="0" outlineLevelRow="0"/>
  <cols>
    <col width="24" customWidth="1" style="38" min="1" max="1"/>
    <col width="22" customWidth="1" style="38" min="2" max="2"/>
    <col width="12" customWidth="1" style="38" min="3" max="3"/>
    <col width="46" customWidth="1" style="38" min="4" max="4"/>
    <col width="26" customWidth="1" style="38" min="5" max="5"/>
    <col width="60" customWidth="1" style="38" min="6" max="6"/>
  </cols>
  <sheetData>
    <row r="1" ht="15" customHeight="1" s="39">
      <c r="A1" s="43" t="inlineStr">
        <is>
          <t>DATA DICTIONARY - machine-readable field contract for agents</t>
        </is>
      </c>
    </row>
    <row r="3" ht="14.25" customHeight="1" s="39">
      <c r="A3" s="74" t="inlineStr">
        <is>
          <t>Column (Scoring sheet)</t>
        </is>
      </c>
      <c r="B3" s="74" t="inlineStr">
        <is>
          <t>field_id</t>
        </is>
      </c>
      <c r="C3" s="74" t="inlineStr">
        <is>
          <t>Type</t>
        </is>
      </c>
      <c r="D3" s="74" t="inlineStr">
        <is>
          <t>Allowed Values / Range</t>
        </is>
      </c>
      <c r="E3" s="74" t="inlineStr">
        <is>
          <t>Owner</t>
        </is>
      </c>
      <c r="F3" s="74" t="inlineStr">
        <is>
          <t>Description</t>
        </is>
      </c>
    </row>
    <row r="4" ht="14.25" customHeight="1" s="39">
      <c r="A4" s="56" t="inlineStr">
        <is>
          <t>A: Feature ID</t>
        </is>
      </c>
      <c r="B4" s="56" t="inlineStr">
        <is>
          <t>feature_id</t>
        </is>
      </c>
      <c r="C4" s="56" t="inlineStr">
        <is>
          <t>string</t>
        </is>
      </c>
      <c r="D4" s="56" t="inlineStr">
        <is>
          <t>Unique, pattern F-### (Feature) or D-### (Defect)</t>
        </is>
      </c>
      <c r="E4" s="56" t="inlineStr">
        <is>
          <t>Human</t>
        </is>
      </c>
      <c r="F4" s="56" t="inlineStr">
        <is>
          <t>Stable identifier; used to join to the feature brief (Feature) or defect/bug report (Defect)</t>
        </is>
      </c>
    </row>
    <row r="5" ht="14.25" customHeight="1" s="39">
      <c r="A5" s="56" t="inlineStr">
        <is>
          <t>B: Feature Name</t>
        </is>
      </c>
      <c r="B5" s="56" t="inlineStr">
        <is>
          <t>feature_name</t>
        </is>
      </c>
      <c r="C5" s="56" t="inlineStr">
        <is>
          <t>string</t>
        </is>
      </c>
      <c r="D5" s="56" t="inlineStr">
        <is>
          <t>Free text</t>
        </is>
      </c>
      <c r="E5" s="56" t="inlineStr">
        <is>
          <t>Human</t>
        </is>
      </c>
      <c r="F5" s="56" t="inlineStr">
        <is>
          <t>Short human-readable name</t>
        </is>
      </c>
    </row>
    <row r="6" ht="26.25" customHeight="1" s="39">
      <c r="A6" s="56" t="inlineStr">
        <is>
          <t>C: Brief Reference</t>
        </is>
      </c>
      <c r="B6" s="56" t="inlineStr">
        <is>
          <t>brief_ref</t>
        </is>
      </c>
      <c r="C6" s="56" t="inlineStr">
        <is>
          <t>string</t>
        </is>
      </c>
      <c r="D6" s="56" t="inlineStr">
        <is>
          <t>Path or URL</t>
        </is>
      </c>
      <c r="E6" s="56" t="inlineStr">
        <is>
          <t>Human</t>
        </is>
      </c>
      <c r="F6" s="56" t="inlineStr">
        <is>
          <t>Link to the feature brief (Feature rows) or the defect/bug report (Defect rows) the score is based on</t>
        </is>
      </c>
    </row>
    <row r="7" ht="27.75" customHeight="1" s="39">
      <c r="A7" s="56" t="inlineStr">
        <is>
          <t>D: Status</t>
        </is>
      </c>
      <c r="B7" s="56" t="inlineStr">
        <is>
          <t>status</t>
        </is>
      </c>
      <c r="C7" s="56" t="inlineStr">
        <is>
          <t>enum</t>
        </is>
      </c>
      <c r="D7" s="56" t="inlineStr">
        <is>
          <t>Idea | Brief Drafted | Reported | Triaged | Scored | Prioritized | In Progress | Implemented | Fixed | Verified | Deferred | Rejected | Won't Fix | Cancelled</t>
        </is>
      </c>
      <c r="E7" s="56" t="inlineStr">
        <is>
          <t>Human / Prioritization agent</t>
        </is>
      </c>
      <c r="F7" s="56"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s="39">
      <c r="A8" s="56" t="inlineStr">
        <is>
          <t>E: Scored By</t>
        </is>
      </c>
      <c r="B8" s="56" t="inlineStr">
        <is>
          <t>scored_by</t>
        </is>
      </c>
      <c r="C8" s="56" t="inlineStr">
        <is>
          <t>enum</t>
        </is>
      </c>
      <c r="D8" s="56" t="inlineStr">
        <is>
          <t>Human | Market Research Agent | Hybrid</t>
        </is>
      </c>
      <c r="E8" s="56" t="inlineStr">
        <is>
          <t>Scorer</t>
        </is>
      </c>
      <c r="F8" s="56" t="inlineStr">
        <is>
          <t>Provenance of the scores in this row</t>
        </is>
      </c>
    </row>
    <row r="9" ht="14.25" customHeight="1" s="39">
      <c r="A9" s="56" t="inlineStr">
        <is>
          <t>F: Date Scored</t>
        </is>
      </c>
      <c r="B9" s="56" t="inlineStr">
        <is>
          <t>date_scored</t>
        </is>
      </c>
      <c r="C9" s="56" t="inlineStr">
        <is>
          <t>date</t>
        </is>
      </c>
      <c r="D9" s="56" t="inlineStr">
        <is>
          <t>ISO 8601 (YYYY-MM-DD)</t>
        </is>
      </c>
      <c r="E9" s="56" t="inlineStr">
        <is>
          <t>Scorer</t>
        </is>
      </c>
      <c r="F9" s="56" t="inlineStr">
        <is>
          <t>When scores were last updated; prioritizer may discount stale rows</t>
        </is>
      </c>
    </row>
    <row r="10" ht="26.25" customHeight="1" s="39">
      <c r="A10" s="56" t="inlineStr">
        <is>
          <t>G: Reach</t>
        </is>
      </c>
      <c r="B10" s="56" t="inlineStr">
        <is>
          <t>reach</t>
        </is>
      </c>
      <c r="C10" s="56" t="inlineStr">
        <is>
          <t>integer</t>
        </is>
      </c>
      <c r="D10" s="56" t="inlineStr">
        <is>
          <t>1-10 (Rubric sheet)</t>
        </is>
      </c>
      <c r="E10" s="56" t="inlineStr">
        <is>
          <t>Human / Research agent</t>
        </is>
      </c>
      <c r="F10" s="56" t="inlineStr">
        <is>
          <t>Share of users affected and frequency of exposure For Defect rows: share of customers who hit the bug (feeds the fast-track reach factor).</t>
        </is>
      </c>
    </row>
    <row r="11" ht="14.25" customHeight="1" s="39">
      <c r="A11" s="56" t="inlineStr">
        <is>
          <t>H: User Value</t>
        </is>
      </c>
      <c r="B11" s="56" t="inlineStr">
        <is>
          <t>user_value</t>
        </is>
      </c>
      <c r="C11" s="56" t="inlineStr">
        <is>
          <t>integer</t>
        </is>
      </c>
      <c r="D11" s="56" t="inlineStr">
        <is>
          <t>1-10 (Rubric sheet)</t>
        </is>
      </c>
      <c r="E11" s="56" t="inlineStr">
        <is>
          <t>Human / Research agent</t>
        </is>
      </c>
      <c r="F11" s="56" t="inlineStr">
        <is>
          <t>Depth of pain relieved or capability gained per affected user</t>
        </is>
      </c>
    </row>
    <row r="12" ht="14.25" customHeight="1" s="39">
      <c r="A12" s="56" t="inlineStr">
        <is>
          <t>I: Business Value</t>
        </is>
      </c>
      <c r="B12" s="56" t="inlineStr">
        <is>
          <t>business_value</t>
        </is>
      </c>
      <c r="C12" s="56" t="inlineStr">
        <is>
          <t>integer</t>
        </is>
      </c>
      <c r="D12" s="56" t="inlineStr">
        <is>
          <t>1-10 (Rubric sheet)</t>
        </is>
      </c>
      <c r="E12" s="56" t="inlineStr">
        <is>
          <t>Human / Research agent</t>
        </is>
      </c>
      <c r="F12" s="56" t="inlineStr">
        <is>
          <t>Revenue, retention, cost, or market-access impact</t>
        </is>
      </c>
    </row>
    <row r="13" ht="26.25" customHeight="1" s="39">
      <c r="A13" s="56" t="inlineStr">
        <is>
          <t>J: Strategic Alignment</t>
        </is>
      </c>
      <c r="B13" s="56" t="inlineStr">
        <is>
          <t>strategic_alignment</t>
        </is>
      </c>
      <c r="C13" s="56" t="inlineStr">
        <is>
          <t>integer</t>
        </is>
      </c>
      <c r="D13" s="56" t="inlineStr">
        <is>
          <t>1-10 (Rubric sheet)</t>
        </is>
      </c>
      <c r="E13" s="56" t="inlineStr">
        <is>
          <t>Human</t>
        </is>
      </c>
      <c r="F13" s="56" t="inlineStr">
        <is>
          <t>Fit with product vision; deliberately human-owned Not used in the Defect priority formula (severity fast-track model).</t>
        </is>
      </c>
    </row>
    <row r="14" ht="14.25" customHeight="1" s="39">
      <c r="A14" s="56" t="inlineStr">
        <is>
          <t>K: Time Sensitivity</t>
        </is>
      </c>
      <c r="B14" s="56" t="inlineStr">
        <is>
          <t>time_sensitivity</t>
        </is>
      </c>
      <c r="C14" s="56" t="inlineStr">
        <is>
          <t>integer</t>
        </is>
      </c>
      <c r="D14" s="56" t="inlineStr">
        <is>
          <t>1-10 (Rubric sheet)</t>
        </is>
      </c>
      <c r="E14" s="56" t="inlineStr">
        <is>
          <t>Human / Research agent</t>
        </is>
      </c>
      <c r="F14" s="56" t="inlineStr">
        <is>
          <t>Decay of value if shipping is delayed</t>
        </is>
      </c>
    </row>
    <row r="15" ht="39" customHeight="1" s="39">
      <c r="A15" s="56" t="inlineStr">
        <is>
          <t>L: Confidence</t>
        </is>
      </c>
      <c r="B15" s="56" t="inlineStr">
        <is>
          <t>confidence</t>
        </is>
      </c>
      <c r="C15" s="56" t="inlineStr">
        <is>
          <t>integer</t>
        </is>
      </c>
      <c r="D15" s="56" t="inlineStr">
        <is>
          <t>1-10 (Rubric sheet)</t>
        </is>
      </c>
      <c r="E15" s="56" t="inlineStr">
        <is>
          <t>Scorer</t>
        </is>
      </c>
      <c r="F15" s="56" t="inlineStr">
        <is>
          <t>Strength of evidence behind the value scores For Defect rows: strength of repro/evidence backing severity and reach; the same Confidence Mult lookup applies.</t>
        </is>
      </c>
    </row>
    <row r="16" ht="26.25" customHeight="1" s="39">
      <c r="A16" s="56" t="inlineStr">
        <is>
          <t>M: Effort</t>
        </is>
      </c>
      <c r="B16" s="56" t="inlineStr">
        <is>
          <t>effort</t>
        </is>
      </c>
      <c r="C16" s="56" t="inlineStr">
        <is>
          <t>integer</t>
        </is>
      </c>
      <c r="D16" s="56" t="inlineStr">
        <is>
          <t>1-10 (Rubric sheet)</t>
        </is>
      </c>
      <c r="E16" s="56" t="inlineStr">
        <is>
          <t>Human (engineering)</t>
        </is>
      </c>
      <c r="F16" s="56" t="inlineStr">
        <is>
          <t>Total delivery cost incl. design, QA, maintenance Not used in the Defect priority formula; still collectible for fix-effort planning.</t>
        </is>
      </c>
    </row>
    <row r="17" ht="26.25" customHeight="1" s="39">
      <c r="A17" s="56" t="inlineStr">
        <is>
          <t>N: Risk</t>
        </is>
      </c>
      <c r="B17" s="56" t="inlineStr">
        <is>
          <t>risk</t>
        </is>
      </c>
      <c r="C17" s="56" t="inlineStr">
        <is>
          <t>integer</t>
        </is>
      </c>
      <c r="D17" s="56" t="inlineStr">
        <is>
          <t>1-10 (Rubric sheet)</t>
        </is>
      </c>
      <c r="E17" s="56" t="inlineStr">
        <is>
          <t>Human</t>
        </is>
      </c>
      <c r="F17" s="56" t="inlineStr">
        <is>
          <t>Technical/market/reversibility risk Not used in the Defect priority formula; still collectible for regression-risk planning.</t>
        </is>
      </c>
    </row>
    <row r="18" ht="27.75" customHeight="1" s="39">
      <c r="A18" s="56" t="inlineStr">
        <is>
          <t>O: Evidence &amp; Sources</t>
        </is>
      </c>
      <c r="B18" s="56" t="inlineStr">
        <is>
          <t>evidence_sources</t>
        </is>
      </c>
      <c r="C18" s="56" t="inlineStr">
        <is>
          <t>string</t>
        </is>
      </c>
      <c r="D18" s="56" t="inlineStr">
        <is>
          <t>Free text; citations required for agent-scored rows</t>
        </is>
      </c>
      <c r="E18" s="56" t="inlineStr">
        <is>
          <t>Scorer</t>
        </is>
      </c>
      <c r="F18" s="56" t="inlineStr">
        <is>
          <t>What the scores are based on; research agents MUST cite sources</t>
        </is>
      </c>
    </row>
    <row r="19" ht="14.25" customHeight="1" s="39">
      <c r="A19" s="56" t="inlineStr">
        <is>
          <t>P: Rationale Notes</t>
        </is>
      </c>
      <c r="B19" s="56" t="inlineStr">
        <is>
          <t>rationale_notes</t>
        </is>
      </c>
      <c r="C19" s="56" t="inlineStr">
        <is>
          <t>string</t>
        </is>
      </c>
      <c r="D19" s="56" t="inlineStr">
        <is>
          <t>Free text</t>
        </is>
      </c>
      <c r="E19" s="56" t="inlineStr">
        <is>
          <t>Scorer</t>
        </is>
      </c>
      <c r="F19" s="56" t="inlineStr">
        <is>
          <t>Reasoning behind judgment calls and any dissent</t>
        </is>
      </c>
    </row>
    <row r="20" ht="26.25" customHeight="1" s="39">
      <c r="A20" s="56" t="inlineStr">
        <is>
          <t>Q: Weighted Value</t>
        </is>
      </c>
      <c r="B20" s="56" t="inlineStr">
        <is>
          <t>weighted_value</t>
        </is>
      </c>
      <c r="C20" s="56" t="inlineStr">
        <is>
          <t>formula</t>
        </is>
      </c>
      <c r="D20" s="56" t="inlineStr">
        <is>
          <t>0.00-5.00</t>
        </is>
      </c>
      <c r="E20" s="56" t="inlineStr">
        <is>
          <t>Formula - do not edit</t>
        </is>
      </c>
      <c r="F20" s="56" t="inlineStr">
        <is>
          <t>SUMPRODUCT of value dimensions and Config weights Blank for Defect rows (the fast-track model doesn't use it).</t>
        </is>
      </c>
    </row>
    <row r="21" ht="14.25" customHeight="1" s="39">
      <c r="A21" s="56" t="inlineStr">
        <is>
          <t>R: Confidence Mult</t>
        </is>
      </c>
      <c r="B21" s="56" t="inlineStr">
        <is>
          <t>confidence_multiplier</t>
        </is>
      </c>
      <c r="C21" s="56" t="inlineStr">
        <is>
          <t>formula</t>
        </is>
      </c>
      <c r="D21" s="56" t="inlineStr">
        <is>
          <t>0.50-1.00</t>
        </is>
      </c>
      <c r="E21" s="56" t="inlineStr">
        <is>
          <t>Formula - do not edit</t>
        </is>
      </c>
      <c r="F21" s="56" t="inlineStr">
        <is>
          <t>Lookup from Config confidence map</t>
        </is>
      </c>
    </row>
    <row r="22" ht="14.25" customHeight="1" s="39">
      <c r="A22" s="56" t="inlineStr">
        <is>
          <t>S: Risk Factor</t>
        </is>
      </c>
      <c r="B22" s="56" t="inlineStr">
        <is>
          <t>risk_factor</t>
        </is>
      </c>
      <c r="C22" s="56" t="inlineStr">
        <is>
          <t>formula</t>
        </is>
      </c>
      <c r="D22" s="56" t="inlineStr">
        <is>
          <t>0.60-1.00</t>
        </is>
      </c>
      <c r="E22" s="56" t="inlineStr">
        <is>
          <t>Formula - do not edit</t>
        </is>
      </c>
      <c r="F22" s="56" t="inlineStr">
        <is>
          <t>Lookup from Config risk map</t>
        </is>
      </c>
    </row>
    <row r="23" ht="51.75" customHeight="1" s="39">
      <c r="A23" s="56" t="inlineStr">
        <is>
          <t>T: Priority Score</t>
        </is>
      </c>
      <c r="B23" s="56" t="inlineStr">
        <is>
          <t>priority_score</t>
        </is>
      </c>
      <c r="C23" s="56" t="inlineStr">
        <is>
          <t>formula</t>
        </is>
      </c>
      <c r="D23" s="56" t="inlineStr">
        <is>
          <t>0-100</t>
        </is>
      </c>
      <c r="E23" s="56" t="inlineStr">
        <is>
          <t>Formula - do not edit</t>
        </is>
      </c>
      <c r="F23" s="56"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s="39">
      <c r="A24" s="56" t="inlineStr">
        <is>
          <t>U: Rank</t>
        </is>
      </c>
      <c r="B24" s="56" t="inlineStr">
        <is>
          <t>rank</t>
        </is>
      </c>
      <c r="C24" s="56" t="inlineStr">
        <is>
          <t>formula</t>
        </is>
      </c>
      <c r="D24" s="56" t="inlineStr">
        <is>
          <t>1-N</t>
        </is>
      </c>
      <c r="E24" s="56" t="inlineStr">
        <is>
          <t>Formula - do not edit</t>
        </is>
      </c>
      <c r="F24" s="56" t="inlineStr">
        <is>
          <t>Descending rank of Priority Score across scored rows</t>
        </is>
      </c>
    </row>
    <row r="25" ht="39" customHeight="1" s="39">
      <c r="A25" s="56" t="inlineStr">
        <is>
          <t>V: Item Type</t>
        </is>
      </c>
      <c r="B25" s="56" t="inlineStr">
        <is>
          <t>item_type</t>
        </is>
      </c>
      <c r="C25" s="56" t="inlineStr">
        <is>
          <t>enum</t>
        </is>
      </c>
      <c r="D25" s="56" t="inlineStr">
        <is>
          <t>Feature | Defect</t>
        </is>
      </c>
      <c r="E25" s="56" t="inlineStr">
        <is>
          <t>Human</t>
        </is>
      </c>
      <c r="F25" s="56" t="inlineStr">
        <is>
          <t>Discriminates row type; determines which scoring path applies (weighted-value for Feature, severity fast-track for Defect) and which Status values are valid. Defaults to Feature for legacy rows without this column set.</t>
        </is>
      </c>
    </row>
    <row r="26" ht="26.25" customHeight="1" s="39">
      <c r="A26" s="56" t="inlineStr">
        <is>
          <t>W: Defect Source</t>
        </is>
      </c>
      <c r="B26" s="56" t="inlineStr">
        <is>
          <t>defect_source</t>
        </is>
      </c>
      <c r="C26" s="56" t="inlineStr">
        <is>
          <t>enum</t>
        </is>
      </c>
      <c r="D26" s="56" t="inlineStr">
        <is>
          <t>Customer-Reported | Internal</t>
        </is>
      </c>
      <c r="E26" s="56" t="inlineStr">
        <is>
          <t>Human / Support</t>
        </is>
      </c>
      <c r="F26" s="56" t="inlineStr">
        <is>
          <t>Only meaningful when item_type=Defect. How the defect was found; blank for Feature rows.</t>
        </is>
      </c>
    </row>
    <row r="27" ht="51.75" customHeight="1" s="39">
      <c r="A27" s="56" t="inlineStr">
        <is>
          <t>X: Severity</t>
        </is>
      </c>
      <c r="B27" s="56" t="inlineStr">
        <is>
          <t>severity</t>
        </is>
      </c>
      <c r="C27" s="56" t="inlineStr">
        <is>
          <t>integer</t>
        </is>
      </c>
      <c r="D27" s="56" t="inlineStr">
        <is>
          <t>1-5 (Rubric sheet)</t>
        </is>
      </c>
      <c r="E27" s="56" t="inlineStr">
        <is>
          <t>Human (triage)</t>
        </is>
      </c>
      <c r="F27" s="56"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2026-07-20T08:15:39Z</dcterms:modified>
  <cp:lastModifiedBy>Derek MacKie</cp:lastModifiedBy>
  <cp:revision>0</cp:revision>
</cp:coreProperties>
</file>