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<sst xmlns="http://schemas.openxmlformats.org/spreadsheetml/2006/main" count="519" uniqueCount="394">
  <si>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</si>
  <si>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</si>
  <si>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</si>
  <si>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</si>
  <si>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</si>
  <si>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</si>
  <si>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</si>
  <si>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</si>
  <si>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</si>
  <si>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</si>
  <si>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</si>
  <si>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</si>
  <si>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</si>
  <si>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</si>
  <si>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</si>
  <si>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</si>
  <si>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</si>
  <si>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</si>
  <si>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</si>
  <si>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</si>
  <si>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</si>
  <si>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</si>
  <si>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</si>
  <si>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</si>
  <si>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</si>
  <si>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</si>
  <si>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</si>
  <si>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</si>
  <si>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</si>
  <si>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</si>
  <si>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</si>
  <si>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</si>
  <si>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</si>
  <si>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</si>
  <si>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</si>
  <si>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</si>
  <si>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</si>
  <si>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</si>
  <si>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</si>
  <si>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</si>
  <si>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</si>
  <si>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</si>
  <si>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</si>
  <si>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</si>
  <si>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</si>
  <si>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</si>
  <si>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</si>
  <si>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</si>
  <si>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</si>
  <si>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</si>
  <si>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</si>
  <si>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</si>
  <si>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</si>
  <si>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</si>
  <si>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</si>
  <si>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</si>
  <si>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</si>
  <si>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</si>
  <si>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</si>
  <si>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</si>
  <si>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</si>
  <si>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</si>
  <si>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</si>
  <si>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</si>
  <si>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</si>
  <si>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</si>
  <si>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</si>
  <si>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</si>
  <si>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</si>
  <si>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</si>
  <si>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</si>
  <si>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</si>
  <si>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</si>
  <si>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</si>
  <si>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</si>
  <si>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</si>
  <si>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</si>
  <si>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</si>
  <si>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</si>
  <si>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</si>
  <si>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</si>
  <si>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</si>
  <si>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</si>
  <si>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</si>
  <si>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</si>
  <si>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</si>
  <si>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</si>
  <si>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</si>
  <si>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</si>
  <si>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</si>
  <si>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</si>
  <si>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</si>
  <si>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</si>
  <si>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</si>
  <si>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</si>
  <si>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</si>
  <si>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</si>
  <si>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</si>
  <si>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</si>
  <si>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</si>
  <si>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</si>
  <si>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</si>
  <si>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</si>
  <si>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</si>
  <si>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</si>
  <si>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</si>
  <si>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</si>
  <si>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</si>
  <si>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</si>
  <si>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</si>
  <si>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</si>
  <si>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</si>
  <si>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</si>
  <si>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</si>
  <si>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</si>
  <si>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</si>
  <si>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</si>
  <si>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</si>
  <si>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</si>
  <si>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</si>
  <si>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</si>
  <si>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</si>
  <si>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</si>
  <si>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</si>
  <si>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</si>
  <si>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</si>
  <si>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</si>
  <si>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</si>
  <si>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</si>
  <si>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</si>
  <si>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</si>
  <si>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</si>
  <si>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</si>
  <si>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</si>
  <si>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</si>
  <si>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</si>
  <si>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</si>
  <si>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</si>
  <si>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</si>
  <si>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</si>
  <si>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</si>
  <si>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</si>
  <si>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</si>
  <si>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</si>
  <si>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</si>
  <si>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</si>
  <si>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</si>
  <si>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</si>
  <si>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</si>
  <si>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</si>
  <si>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</si>
  <si>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</si>
  <si>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</si>
  <si>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</si>
  <si>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</si>
  <si>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</si>
  <si>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</si>
  <si>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</si>
  <si>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</si>
  <si>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</si>
  <si>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</si>
  <si>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</si>
  <si>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</si>
  <si>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</si>
  <si>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</si>
  <si>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</si>
  <si>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</si>
  <si>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</si>
  <si>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</si>
  <si>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</si>
  <si>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</si>
  <si>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</si>
  <si>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</si>
  <si>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</si>
  <si>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</si>
  <si>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</si>
  <si>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</si>
  <si>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</si>
  <si>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</si>
  <si>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</si>
  <si>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</si>
  <si>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</si>
  <si>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</si>
  <si>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</si>
  <si>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</si>
  <si>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</si>
  <si>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</si>
  <si>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</si>
  <si>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</si>
  <si>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</si>
  <si>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</si>
  <si>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</si>
  <si>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</si>
  <si>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</si>
  <si>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</si>
  <si>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</si>
  <si>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</si>
  <si>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</si>
  <si>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</si>
  <si>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</si>
  <si>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</si>
  <si>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</si>
  <si>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</si>
  <si>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</si>
  <si>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</si>
  <si>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</si>
  <si>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</si>
  <si>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</si>
  <si>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</si>
  <si>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</si>
  <si>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</si>
  <si>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</si>
  <si>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</si>
  <si>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</si>
  <si>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</si>
  <si>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</si>
  <si>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</si>
  <si>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</si>
  <si>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</si>
  <si>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</si>
  <si>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</si>
  <si>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</si>
  <si>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</si>
  <si>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</si>
  <si>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</si>
  <si>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</si>
  <si>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</si>
  <si>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</si>
  <si>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</si>
  <si>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</si>
  <si>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</si>
  <si>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</si>
  <si>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</si>
  <si>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</si>
  <si>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</si>
  <si>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</si>
  <si>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</si>
  <si>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</si>
  <si>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</si>
  <si>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</si>
  <si>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</si>
  <si>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</si>
  <si>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</si>
  <si>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</si>
  <si>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</si>
  <si>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</si>
  <si>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</si>
  <si>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</si>
  <si>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</si>
  <si>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</si>
  <si>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</si>
  <si>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</si>
  <si>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</si>
  <si>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</si>
  <si>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</si>
  <si>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</si>
  <si>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</si>
  <si>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</si>
  <si>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 [write-spec-from-feature-brief 2026-07-22] spec drafted at specs/F-010-deliver-admin-events-to-customer-web-app.md; 19 functional / 5 non-functional requirements; 7 of 9 open questions resolved by human ruling (Q3 GTM-date and Q7 D-006-re-exam deferred to named owners); spec-reviewer PASS WITH NOTES (rev 3). [implement-spec 2026-07-23] implemented per specs/F-010-deliver-admin-events-to-customer-web-app.md; branch spec/f-010-deliver-admin-events-to-cwa; full suite green (bff 1300, relay e2e 16, tsc clean); security PASS WITH NOTES, code review APPROVE WITH COMMENTS.</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</si>
  <si>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</si>
  <si>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</si>
  <si>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</si>
  <si>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</si>
  <si>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</si>
  <si>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</si>
  <si>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</si>
  <si>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</si>
  <si>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</si>
  <si>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RE-VERIFIED FIRST-HAND 2026-07-20 (anything-llm @70e0d2eb; admin-console main @5e518cd). Every brief lead below independently re-checked, not inherited. ENGINE CAPABILITY: POST /v1/document/upload confirmed at anything-llm server/endpoints/api/document/index.js:48-50, guarded [validApiKey, handleAPIFileUpload, validateWorkspaceSlugQuery]. No size limit confirmed: server/utils/files/multer.js:116-117 multer({storage: fileAPIUploadStorage}).single("file"), no limits option - any per-file gate must be caller-imposed. SUBSTITUTE CHANNEL (decisive evidence): the engine's own frontend ships a WORKING upload UI - frontend/src/components/Modals/ManageWorkspace/Documents/UploadFile/index.jsx:6 imports useDropzone, :8 imports FileUploadProgress. Posts to session-authenticated POST /workspace/:slug/upload (server/endpoints/workspaces.js:115-119, gated [validatedRequest, flexUserRoleValid([ROLES.admin, ROLES.manager]), handleFileUpload]) - distinct from the API-key path. It ALSO supports deletion: Documents/Directory/index.jsx:53-55 deleteFiles() behind window.confirm. Admins are not blocked today, and today's channel has capabilities (delete, drag-drop, progress) that F-012's scope excludes. ADMIN-CONSOLE GAP: bff/src/engine/adapter.ts:145 updateEmbeddings takes only {adds,deletes} string refs; :159 listDocuments reads the existing pool; no byte-upload method. bff/src/routes/workspaces.routes.ts:67-78 accepts only {adds?,deletes?} and 400s on an empty pair. Zero multipart dependency: grep multer|busboy|multipart|form-data across bff/package.json and bff/src returns nothing. Credential present: bff/src/config.ts:60 anythingLLMApiKey. Front end has no file control; only web/src match for type="file"/FormData is web/src/features/workspaces/WorkspaceSettings.tsx:342 hint="Binary avatar upload is not available in v1." DEMAND EVIDENCE - NONE FOUND (searched, not assumed): no analytics/telemetry dependency in bff/package.json or web/package.json (grep analytics|posthog|mixpanel|segment|telemetry = no match); gh issue list --state all returns 5 issues (#5,#7,#9,#10,#16), none referencing upload, ingestion, or documents. No support-ticket intake. No user research available. CALIBRATION: customer-web-app F-002 'Raw document upload (multipart binary)' = reach 4 / uv 6 / bv 4 / ts 2 / conf 4; independence of the two rows confirmed by the 2026-07-20 ownership ruling. NO external/competitor evidence cited: nothing product-specific was available.</t>
  </si>
  <si>
    <t xml:space="preserve">Scored 2026-07-20 by first-hand re-verification of every brief lead; nothing inherited. FIRST score (Brief Drafted -&gt; Scored). reach=5: breadth is potentially all staff (single requireStaff gate, workspaces.routes.ts:23; panel rendered from WorkspaceSettings.tsx:352), but frequency is unmeasured - no telemetry exists - and origination is plausibly episodic. 5 is the judgment call between anchor 4 ('5-15% or infrequent use') and anchor 6 ('15-40% regular use'); 'regular use' is not evidenced so 6 was not taken. In line with staff-population precedent (F-011=5, F-009=4). user_value=4 (anchor 4: 'minor convenience; mild pain, easy workaround exists'). The brief's claim 1 fails and re-checking makes it fail harder: the engine's react-dropzone UI is not just a workaround, it is MORE capable than F-012's proposed scope - it deletes (Directory/index.jsx:53) and shows progress (FileUploadProgress), while this feature is create-only with no undo (Out of Scope; contested by OQ8). Shipping strictly less capability than the channel it replaces cannot score as 'solves a real pain with a clumsy workaround' (6). What survives is a consolidation/context-switch convenience of unmeasured cost. Deliberately below cwa F-002's uv=6: cwa's end users have no engine access, so their workaround is absent; admin-console staff's is present and working. business_value=3 (anchor 3: 'marginal, hard-to-attribute'). No revenue/retention/contract argument exists and none is asserted. Above 2 only for one verifiable mechanism: ingestion the console does not mediate produces no console-side data (adapter.ts:145,159 handle refs only), a real if unquantified gap against this repo's reporting posture. time_sensitivity=2 (anchor 2: 'no time pressure; value stable indefinitely'). No deadline, regulation, or competitive window. The one candidate pressure was checked and rejected: the 2026-07-20 ownership ruling makes the two apps independent, and cwa F-002 is itself ts=2. confidence=3 (anchor 3: 'a single anecdote'). Implementation evidence is strong, specific and re-verified - but that is certainty about the CODE, not about DEMAND. Demand evidence is literally zero: no analytics dependency, no telemetry, no ticket intake, zero of the 5 open GH issues touch upload. Worse than absent, the evidence that does exist points AGAINST the item: the primary business claim was tested and failed during drafting, and re-verification confirmed the substitute channel is superior. Eight open questions stand, with OQ6 (do these admins hold engine accounts; is the split felt as friction?) determining whether the weakened rationale survives at all. Deliberately one below cwa F-002's conf=4 because this row carries a falsified primary claim and a verified superior substitute that the sibling's profile does not. GAPS / WHAT WOULD MOVE THESE SCORES: (a) any observation of actual staff behaviour answering OQ6 - if admins lack engine accounts or route uploads to a third party, user_value moves up materially and confidence with it; (b) a ruling on OQ8 pulling delete into scope would remove the 'less capable than today' discount on user_value; (c) any ticket or interview evidence at all would lift confidence off the floor. Value scores were NOT inflated to compensate for thin evidence.</t>
  </si>
  <si>
    <t xml:space="preserve">F-013</t>
  </si>
  <si>
    <t xml:space="preserve">Instance notice authoring and admin.notice.* event emission</t>
  </si>
  <si>
    <t xml:space="preserve">briefs/F-013-instance-notice-authoring.md</t>
  </si>
  <si>
    <t xml:space="preserve">Re-verified 2026-07-20 (all file:line checked directly, not inherited from brief). admin-console: bff/src/events/catalog.ts - 21 admin.* event types declared (brief states 22; DRIFT, brief is off by one), no notice family; no notice model/API/UI (only unrelated 'notice' copy at web/src/features/users/MultiUserGate.tsx:3, web/src/features/settings/OllamaModelSelect.tsx:23). recordAudit bff/src/audit/audit.ts:21; event_outbox bff/src/store/db.ts:137; staff table bff/src/store/db.ts:79; engine-user emission bff/src/services/user.service.ts:101,125,180. customer-web-app: local authoring live and admin-gated - POST /api/notices bff/src/routes/appstate.routes.ts:65, PATCH /api/notices/:id line 82, reader feed GET /api/notices line 59; LOCAL NOTICE WRITES ARE ALREADY AUDITED - ctx.audit({action:'notice.create'}) line 76, 'notice.retire' line 88 (PARTIAL FALSIFIER of brief Business Rationale claim 1: the gap is audit-LOCUS, not audit-ABSENCE). Ingest live: POST /api/events/ingest bff/src/routes/ingest.routes.ts:80; identity projection bff/src/identity/projection.service.ts, role mapping bff/src/auth/user.service.ts:51. POPULATION-OVERLAP EVIDENCE (Open Question 4): briefs/F-009-console-login-for-console-created-admin-users.md:1-40 - two separate identity planes, only the first-boot bootstrap account can log into the console, no shipped UI to add a second operator, one deployment known, firsthand 2026-07-19. Dependency: briefs/F-010-deliver-admin-events-to-customer-web-app.md, status Prioritized/unimplemented. Consumer counterpart: customer-web-app briefs/F-003-cross-app-notice-sync.md, status Deferred. DEMAND EVIDENCE: NONE FOUND - no analytics, telemetry, support-ticket intake, or user research exists in either repo; the sole demand signal is the 2026-07-20 product-owner authorship ruling. Brief: briefs/F-013-instance-notice-authoring.md (2026-07-20).</t>
  </si>
  <si>
    <t xml:space="preserve">Reach 4 scored against the ADMIN-CONSOLE OPERATOR (authoring) population, deliberately NOT the customer-web-app reader population: readers' surfaces are live and F-013 changes only where notice content originates, so readers observe no new capability (they would only be reached if multi-consumer fan-out or targeting later materialised - OQ6, and cwa F-003 is Deferred). Within the authoring population the share is ~100%, but anchor 4's 'or infrequent use' clause governs: notices are episodic, and F-009 establishes ~1 usable console operator per deployment with one deployment known. User value 4 ('minor convenience; mild pain, easy workaround exists') because the workaround is shipped, admin-gated and working in cwa, AND - a falsifier found at scoring time that the brief did not have - cwa's local notice writes are ALREADY AUDITED (notice.create/notice.retire), so the gap is audit-locus, not audit-absence. Business value 3: governance/single-source-of-truth only; no revenue, retention, contractual or regulatory argument exists, and the multi-consumer benefit (claim 4) is prospective with one consumer app today. Time sensitivity 2: no deadline of any kind; F-010's build-order dependency is sequencing, not a clock, and OQ7 leaves the sequencing direction itself unresolved - an argument for waiting, not urgency. Confidence 3 ('a single anecdote') is the load-bearing score: implementation evidence is strong and independently re-verified on both sides, but demand evidence is entirely absent (no analytics, telemetry, tickets or research exist to query) and the only demand signal is one product-owner ruling. OPEN QUESTION 4 turned out PARTIALLY ANSWERABLE in-repo, contra the brief: the two planes are structurally distinct (console 'staff' vs engine-projected cwa users), but cwa's admin-role users are populated BY admin-console emission, and with a single bootstrap-only console operator the same human most likely holds both credentials in the one known deployment - the brief's own named falsifier, which leaves only the central-record half of claim 2 standing. Architectural inference, not headcount data, so not settled. Nine open questions remain, notably OQ9 (no relay-delivery visibility anywhere in web/src; a publish can report success for a notice no reader sees) and OQ3 (two writers into one reader surface with no precedence rule). Value scores were NOT inflated to offset thin evidence; the confidence multiplier carries the uncertainty. Re-score warranted if headcount/publish-frequency data or any operator report of a wrong-audience or missing-record incident becomes available.</t>
  </si>
  <si>
    <t xml:space="preserve">D-007</t>
  </si>
  <si>
    <t xml:space="preserve">F-010 shared-secret peer credential transmits in cleartext over http:// peer URLs (no scheme enforcement)</t>
  </si>
  <si>
    <t xml:space="preserve">https://github.com/dispatch-derek/admin-console/issues/39</t>
  </si>
  <si>
    <t xml:space="preserve">Triaged</t>
  </si>
  <si>
    <t xml:space="preserve">Logged 2026-07-22 (Internal). F-010 introduces a shared-secret credential on the relay's outbound POST (header X-Event-Auth-Token / env EVENT_BUS_PEER_AUTH_TOKEN; spec specs/F-010-deliver-admin-events-to-customer-web-app.md REQ-F010-005/-007). bff/src/relay/config.ts splits/trims/filters EVENT_BUS_URL with 0 scheme validation, so http:// peer URLs are accepted (all 3 README examples at bff/src/relay/README.md are http://). Result: any http:// peer transmits the secret in cleartext on every delivery -&gt; credential disclosure -&gt; forgeable admin.user.* events into the consumer. Not live today (EVENT_BUS_MODE=inproc, no credential code path); becomes exploitable the moment F-010 ships with any http:// peer. GH issue #39.</t>
  </si>
  <si>
    <t xml:space="preserve">Distinct from but overlapping D-006 (GH #16): D-006 = broad relay transport hardening (HMAC/mTLS + https-only enforcement), scored while the transport was inactive; this row = the concrete secret-disclosure that F-010 makes active. Surfaced as F-010 spec Open Question Q4 (scheme validation deliberately left to D-006). Minimal fix = fail-fast reject of non-https peer URLs when a credential is configured (bff/src/relay/config.ts). Severity + scoring left for triage/prioritization; triage to decide fix-here vs fold-into-D-006.</t>
  </si>
  <si>
    <t xml:space="preserve">D-008</t>
  </si>
  <si>
    <t xml:space="preserve">Relay partially-delivered-park signal is in-process only — not observable by operators</t>
  </si>
  <si>
    <t xml:space="preserve">https://github.com/dispatch-derek/admin-console/issues/40</t>
  </si>
  <si>
    <t xml:space="preserve">Logged 2026-07-23 (Internal); surfaced by F-010 Phase-6 e2e. recordPartiallyDeliveredPark() counter (bff/src/relay/metrics.ts:57-58, incremented at drainer.ts:71) is a process-lifetime singleton with NO exported getter/snapshot; only DB-backed gauges getBacklogCount/getRelayLagMs are wired out (index.ts:14,46-47). No /metrics endpoint, no /ready field (ready.ts exposes only eventBusUrlConfigured), and setLastError(row.id, errText(err)) (drainer.ts:80) writes a generic TransportError message that does not encode partial-vs-never-delivered. So operators cannot distinguish a partially-delivered park (acked peer holds a dedupable copy) from a never-delivered one, nor see the counter at all. Verified first-hand. GH issue #40.</t>
  </si>
  <si>
    <t xml:space="preserve">Predates F-010: the counter and REQ-F004-051(e)/REQ-F004-025 partial-vs-never split are F-004 machinery; no F-004 test asserted external observability. Surfaced because REQ-F010-015 is the first requirement to state 'operators MUST be able to observe this outcome' against this counter. Observability/operability defect, not correctness (row is retained/parked, no data loss). Fix direction: expose event counters via /metrics or /ready, and/or encode partial-vs-never in the parked row's last_error. Severity + scoring left for triage. Relates to F-010 (REQ-F010-015) and F-004 (REQ-F004-025).</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</si>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</sst>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2</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11</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10</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13</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5</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9</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6</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12</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3</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16</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7</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18</v>
      </c>
      <c r="V16" s="36" t="s">
        <v>199</v>
      </c>
      <c r="W16" s="1" t="s">
        <v>200</v>
      </c>
      <c r="X16" s="1" t="n">
        <v>1</v>
      </c>
    </row>
    <row r="17" customFormat="false" ht="195.75" hidden="false" customHeight="true" outlineLevel="0" collapsed="false">
      <c r="A17" s="22" t="s">
        <v>243</v>
      </c>
      <c r="B17" s="23" t="s">
        <v>244</v>
      </c>
      <c r="C17" s="22" t="s">
        <v>245</v>
      </c>
      <c r="D17" s="22" t="s">
        <v>171</v>
      </c>
      <c r="E17" s="22" t="s">
        <v>172</v>
      </c>
      <c r="F17" s="22" t="s">
        <v>215</v>
      </c>
      <c r="G17" s="25" t="n">
        <v>1</v>
      </c>
      <c r="H17" s="25"/>
      <c r="I17" s="25"/>
      <c r="J17" s="25"/>
      <c r="K17" s="25"/>
      <c r="L17" s="25" t="n">
        <v>9</v>
      </c>
      <c r="M17" s="25"/>
      <c r="N17" s="25"/>
      <c r="O17" s="27" t="s">
        <v>246</v>
      </c>
      <c r="P17" s="27" t="s">
        <v>247</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8</v>
      </c>
      <c r="V17" s="36" t="s">
        <v>199</v>
      </c>
      <c r="W17" s="1" t="s">
        <v>200</v>
      </c>
      <c r="X17" s="1" t="n">
        <v>2</v>
      </c>
    </row>
    <row r="18" customFormat="false" ht="14.25" hidden="false" customHeight="true" outlineLevel="0" collapsed="false">
      <c r="A18" s="22" t="s">
        <v>248</v>
      </c>
      <c r="B18" s="23" t="s">
        <v>249</v>
      </c>
      <c r="C18" s="22" t="s">
        <v>250</v>
      </c>
      <c r="D18" s="22" t="s">
        <v>171</v>
      </c>
      <c r="E18" s="22" t="s">
        <v>172</v>
      </c>
      <c r="F18" s="22" t="s">
        <v>215</v>
      </c>
      <c r="G18" s="25" t="n">
        <v>4</v>
      </c>
      <c r="H18" s="25" t="n">
        <v>6</v>
      </c>
      <c r="I18" s="25" t="n">
        <v>4</v>
      </c>
      <c r="J18" s="25" t="n">
        <v>7</v>
      </c>
      <c r="K18" s="25" t="n">
        <v>9</v>
      </c>
      <c r="L18" s="25" t="n">
        <v>5</v>
      </c>
      <c r="M18" s="25" t="n">
        <v>7</v>
      </c>
      <c r="N18" s="25" t="n">
        <v>5</v>
      </c>
      <c r="O18" s="27" t="s">
        <v>251</v>
      </c>
      <c r="P18" s="27" t="s">
        <v>252</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14</v>
      </c>
      <c r="V18" s="33" t="s">
        <v>175</v>
      </c>
    </row>
    <row r="19" customFormat="false" ht="14.25" hidden="false" customHeight="true" outlineLevel="0" collapsed="false">
      <c r="A19" s="22" t="s">
        <v>253</v>
      </c>
      <c r="B19" s="23" t="s">
        <v>254</v>
      </c>
      <c r="C19" s="22" t="s">
        <v>255</v>
      </c>
      <c r="D19" s="22" t="s">
        <v>190</v>
      </c>
      <c r="E19" s="22" t="s">
        <v>172</v>
      </c>
      <c r="F19" s="22" t="s">
        <v>256</v>
      </c>
      <c r="G19" s="25" t="n">
        <v>2</v>
      </c>
      <c r="H19" s="25" t="n">
        <v>5</v>
      </c>
      <c r="I19" s="25" t="n">
        <v>4</v>
      </c>
      <c r="J19" s="25" t="n">
        <v>9</v>
      </c>
      <c r="K19" s="25" t="n">
        <v>6</v>
      </c>
      <c r="L19" s="25" t="n">
        <v>5</v>
      </c>
      <c r="M19" s="25" t="n">
        <v>2</v>
      </c>
      <c r="N19" s="25" t="n">
        <v>5</v>
      </c>
      <c r="O19" s="27" t="s">
        <v>257</v>
      </c>
      <c r="P19" s="27" t="s">
        <v>258</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4</v>
      </c>
      <c r="V19" s="36" t="s">
        <v>175</v>
      </c>
    </row>
    <row r="20" customFormat="false" ht="14.25" hidden="false" customHeight="true" outlineLevel="0" collapsed="false">
      <c r="A20" s="22" t="s">
        <v>259</v>
      </c>
      <c r="B20" s="23" t="s">
        <v>260</v>
      </c>
      <c r="C20" s="22" t="s">
        <v>261</v>
      </c>
      <c r="D20" s="22" t="s">
        <v>262</v>
      </c>
      <c r="E20" s="22" t="s">
        <v>172</v>
      </c>
      <c r="F20" s="22" t="s">
        <v>256</v>
      </c>
      <c r="G20" s="25" t="n">
        <v>5</v>
      </c>
      <c r="H20" s="25" t="n">
        <v>7</v>
      </c>
      <c r="I20" s="25" t="n">
        <v>5</v>
      </c>
      <c r="J20" s="25" t="n">
        <v>5</v>
      </c>
      <c r="K20" s="25" t="n">
        <v>5</v>
      </c>
      <c r="L20" s="25" t="n">
        <v>4</v>
      </c>
      <c r="M20" s="25" t="n">
        <v>6</v>
      </c>
      <c r="N20" s="25" t="n">
        <v>6</v>
      </c>
      <c r="O20" s="27" t="s">
        <v>263</v>
      </c>
      <c r="P20" s="27" t="s">
        <v>264</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15</v>
      </c>
      <c r="V20" s="36" t="s">
        <v>175</v>
      </c>
    </row>
    <row r="21" customFormat="false" ht="14.25" hidden="false" customHeight="true" outlineLevel="0" collapsed="false">
      <c r="A21" s="22" t="s">
        <v>265</v>
      </c>
      <c r="B21" s="23" t="s">
        <v>266</v>
      </c>
      <c r="C21" s="22" t="s">
        <v>267</v>
      </c>
      <c r="D21" s="22" t="s">
        <v>262</v>
      </c>
      <c r="E21" s="22" t="s">
        <v>172</v>
      </c>
      <c r="F21" s="22" t="s">
        <v>256</v>
      </c>
      <c r="G21" s="25" t="n">
        <v>5</v>
      </c>
      <c r="H21" s="25" t="n">
        <v>4</v>
      </c>
      <c r="I21" s="25" t="n">
        <v>3</v>
      </c>
      <c r="J21" s="25" t="n">
        <v>6</v>
      </c>
      <c r="K21" s="25" t="n">
        <v>2</v>
      </c>
      <c r="L21" s="25" t="n">
        <v>3</v>
      </c>
      <c r="M21" s="25" t="n">
        <v>5</v>
      </c>
      <c r="N21" s="25" t="n">
        <v>6</v>
      </c>
      <c r="O21" s="27" t="s">
        <v>268</v>
      </c>
      <c r="P21" s="27" t="s">
        <v>269</v>
      </c>
      <c r="Q21" s="28" t="n">
        <f aca="false">IF(V21="Defect","",IF(COUNT(G21:K21)&lt;5,"",ROUND(G21*Config!$B$4+H21*Config!$B$5+I21*Config!$B$6+J21*Config!$B$7+K21*Config!$B$8,2)))</f>
        <v>4.15</v>
      </c>
      <c r="R21" s="28" t="n">
        <f aca="false">IF(L21="","",VLOOKUP(L21,Config!$A$12:$B$21,2,0))</f>
        <v>0.58</v>
      </c>
      <c r="S21" s="28" t="n">
        <f aca="false">IF(N21="","",VLOOKUP(N21,Config!$D$12:$E$21,2,0))</f>
        <v>0.8</v>
      </c>
      <c r="T21" s="29" t="n">
        <f aca="false">IF(V21="Defect",IF(OR(X21="",G21="",R21=""),"",ROUND(MIN(100,VLOOKUP(X21,Config!$G$12:$H$16,2,0)*VLOOKUP(G21,Config!$I$12:$J$21,2,0)*R21),1)),IF(OR(Q21="",R21="",S21="",M21=""),"",ROUND(MIN(100,Q21*R21*S21/M21*20),1)))</f>
        <v>7.7</v>
      </c>
      <c r="U21" s="30" t="n">
        <f aca="false">IF(T21="","",RANK(T21,$T$4:$T$52))</f>
        <v>17</v>
      </c>
      <c r="V21" s="36" t="s">
        <v>175</v>
      </c>
    </row>
    <row r="22" customFormat="false" ht="14.25" hidden="false" customHeight="true" outlineLevel="0" collapsed="false">
      <c r="A22" s="22" t="s">
        <v>270</v>
      </c>
      <c r="B22" s="23" t="s">
        <v>271</v>
      </c>
      <c r="C22" s="22" t="s">
        <v>272</v>
      </c>
      <c r="D22" s="22" t="s">
        <v>262</v>
      </c>
      <c r="E22" s="22" t="s">
        <v>172</v>
      </c>
      <c r="F22" s="22" t="s">
        <v>256</v>
      </c>
      <c r="G22" s="25" t="n">
        <v>4</v>
      </c>
      <c r="H22" s="25" t="n">
        <v>4</v>
      </c>
      <c r="I22" s="25" t="n">
        <v>3</v>
      </c>
      <c r="J22" s="25" t="n">
        <v>7</v>
      </c>
      <c r="K22" s="25" t="n">
        <v>2</v>
      </c>
      <c r="L22" s="25" t="n">
        <v>3</v>
      </c>
      <c r="M22" s="25" t="n">
        <v>6</v>
      </c>
      <c r="N22" s="25" t="n">
        <v>7</v>
      </c>
      <c r="O22" s="27" t="s">
        <v>273</v>
      </c>
      <c r="P22" s="27" t="s">
        <v>274</v>
      </c>
      <c r="Q22" s="28" t="n">
        <f aca="false">IF(V22="Defect","",IF(COUNT(G22:K22)&lt;5,"",ROUND(G22*Config!$B$4+H22*Config!$B$5+I22*Config!$B$6+J22*Config!$B$7+K22*Config!$B$8,2)))</f>
        <v>4.15</v>
      </c>
      <c r="R22" s="28" t="n">
        <f aca="false">IF(L22="","",VLOOKUP(L22,Config!$A$12:$B$21,2,0))</f>
        <v>0.58</v>
      </c>
      <c r="S22" s="28" t="n">
        <f aca="false">IF(N22="","",VLOOKUP(N22,Config!$D$12:$E$21,2,0))</f>
        <v>0.75</v>
      </c>
      <c r="T22" s="29" t="n">
        <f aca="false">IF(V22="Defect",IF(OR(X22="",G22="",R22=""),"",ROUND(MIN(100,VLOOKUP(X22,Config!$G$12:$H$16,2,0)*VLOOKUP(G22,Config!$I$12:$J$21,2,0)*R22),1)),IF(OR(Q22="",R22="",S22="",M22=""),"",ROUND(MIN(100,Q22*R22*S22/M22*20),1)))</f>
        <v>6</v>
      </c>
      <c r="U22" s="30" t="n">
        <f aca="false">IF(T22="","",RANK(T22,$T$4:$T$52))</f>
        <v>19</v>
      </c>
      <c r="V22" s="36" t="s">
        <v>175</v>
      </c>
    </row>
    <row r="23" customFormat="false" ht="14.25" hidden="false" customHeight="true" outlineLevel="0" collapsed="false">
      <c r="A23" s="22" t="s">
        <v>275</v>
      </c>
      <c r="B23" s="23" t="s">
        <v>276</v>
      </c>
      <c r="C23" s="22" t="s">
        <v>277</v>
      </c>
      <c r="D23" s="22" t="s">
        <v>278</v>
      </c>
      <c r="E23" s="22"/>
      <c r="F23" s="22"/>
      <c r="G23" s="25"/>
      <c r="H23" s="25"/>
      <c r="I23" s="25"/>
      <c r="J23" s="25"/>
      <c r="K23" s="25"/>
      <c r="L23" s="25"/>
      <c r="M23" s="25"/>
      <c r="N23" s="25"/>
      <c r="O23" s="27" t="s">
        <v>279</v>
      </c>
      <c r="P23" s="27" t="s">
        <v>280</v>
      </c>
      <c r="Q23" s="28" t="str">
        <f aca="false">IF(V23="Defect","",IF(COUNT(G23:K23)&lt;5,"",ROUND(G23*Config!$B$4+H23*Config!$B$5+I23*Config!$B$6+J23*Config!$B$7+K23*Config!$B$8,2)))</f>
        <v/>
      </c>
      <c r="R23" s="28" t="str">
        <f aca="false">IF(L23="","",VLOOKUP(L23,Config!$A$12:$B$21,2,0))</f>
        <v/>
      </c>
      <c r="S23" s="28" t="str">
        <f aca="false">IF(N23="","",VLOOKUP(N23,Config!$D$12:$E$21,2,0))</f>
        <v/>
      </c>
      <c r="T23" s="29" t="str">
        <f aca="false">IF(V23="Defect",IF(OR(X23="",G23="",R23=""),"",ROUND(MIN(100,VLOOKUP(X23,Config!$G$12:$H$16,2,0)*VLOOKUP(G23,Config!$I$12:$J$21,2,0)*R23),1)),IF(OR(Q23="",R23="",S23="",M23=""),"",ROUND(MIN(100,Q23*R23*S23/M23*20),1)))</f>
        <v/>
      </c>
      <c r="U23" s="30" t="str">
        <f aca="false">IF(T23="","",RANK(T23,$T$4:$T$52))</f>
        <v/>
      </c>
      <c r="V23" s="36" t="s">
        <v>199</v>
      </c>
      <c r="W23" s="1" t="s">
        <v>200</v>
      </c>
      <c r="X23" s="1" t="n">
        <v>5</v>
      </c>
    </row>
    <row r="24" customFormat="false" ht="14.25" hidden="false" customHeight="true" outlineLevel="0" collapsed="false">
      <c r="A24" s="22" t="s">
        <v>281</v>
      </c>
      <c r="B24" s="23" t="s">
        <v>282</v>
      </c>
      <c r="C24" s="22" t="s">
        <v>283</v>
      </c>
      <c r="D24" s="22" t="s">
        <v>278</v>
      </c>
      <c r="E24" s="22"/>
      <c r="F24" s="22"/>
      <c r="G24" s="25"/>
      <c r="H24" s="25"/>
      <c r="I24" s="25"/>
      <c r="J24" s="25"/>
      <c r="K24" s="25"/>
      <c r="L24" s="25"/>
      <c r="M24" s="25"/>
      <c r="N24" s="25"/>
      <c r="O24" s="27" t="s">
        <v>284</v>
      </c>
      <c r="P24" s="27" t="s">
        <v>285</v>
      </c>
      <c r="Q24" s="28" t="str">
        <f aca="false">IF(V24="Defect","",IF(COUNT(G24:K24)&lt;5,"",ROUND(G24*Config!$B$4+H24*Config!$B$5+I24*Config!$B$6+J24*Config!$B$7+K24*Config!$B$8,2)))</f>
        <v/>
      </c>
      <c r="R24" s="28" t="str">
        <f aca="false">IF(L24="","",VLOOKUP(L24,Config!$A$12:$B$21,2,0))</f>
        <v/>
      </c>
      <c r="S24" s="28" t="str">
        <f aca="false">IF(N24="","",VLOOKUP(N24,Config!$D$12:$E$21,2,0))</f>
        <v/>
      </c>
      <c r="T24" s="29" t="str">
        <f aca="false">IF(V24="Defect",IF(OR(X24="",G24="",R24=""),"",ROUND(MIN(100,VLOOKUP(X24,Config!$G$12:$H$16,2,0)*VLOOKUP(G24,Config!$I$12:$J$21,2,0)*R24),1)),IF(OR(Q24="",R24="",S24="",M24=""),"",ROUND(MIN(100,Q24*R24*S24/M24*20),1)))</f>
        <v/>
      </c>
      <c r="U24" s="30" t="str">
        <f aca="false">IF(T24="","",RANK(T24,$T$4:$T$52))</f>
        <v/>
      </c>
      <c r="V24" s="36" t="s">
        <v>199</v>
      </c>
      <c r="W24" s="1" t="s">
        <v>200</v>
      </c>
      <c r="X24" s="1" t="n">
        <v>3</v>
      </c>
    </row>
    <row r="25" customFormat="false" ht="14.25" hidden="false" customHeight="true" outlineLevel="0" collapsed="false">
      <c r="A25" s="22"/>
      <c r="B25" s="23"/>
      <c r="C25" s="22"/>
      <c r="D25" s="22"/>
      <c r="E25" s="22"/>
      <c r="F25" s="22"/>
      <c r="G25" s="25"/>
      <c r="H25" s="25"/>
      <c r="I25" s="25"/>
      <c r="J25" s="25"/>
      <c r="K25" s="25"/>
      <c r="L25" s="25"/>
      <c r="M25" s="25"/>
      <c r="N25" s="25"/>
      <c r="O25" s="27"/>
      <c r="P25" s="27"/>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row>
    <row r="26" customFormat="false" ht="14.25" hidden="false" customHeight="true" outlineLevel="0" collapsed="false">
      <c r="A26" s="22"/>
      <c r="B26" s="23"/>
      <c r="C26" s="22"/>
      <c r="D26" s="22"/>
      <c r="E26" s="22"/>
      <c r="F26" s="22"/>
      <c r="G26" s="25"/>
      <c r="H26" s="25"/>
      <c r="I26" s="25"/>
      <c r="J26" s="25"/>
      <c r="K26" s="25"/>
      <c r="L26" s="25"/>
      <c r="M26" s="25"/>
      <c r="N26" s="25"/>
      <c r="O26" s="27"/>
      <c r="P26" s="27"/>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row>
    <row r="27" customFormat="false" ht="14.25" hidden="false" customHeight="true" outlineLevel="0" collapsed="false">
      <c r="A27" s="22"/>
      <c r="B27" s="23"/>
      <c r="C27" s="22"/>
      <c r="D27" s="22"/>
      <c r="E27" s="22"/>
      <c r="F27" s="22"/>
      <c r="G27" s="25"/>
      <c r="H27" s="25"/>
      <c r="I27" s="25"/>
      <c r="J27" s="25"/>
      <c r="K27" s="25"/>
      <c r="L27" s="25"/>
      <c r="M27" s="25"/>
      <c r="N27" s="25"/>
      <c r="O27" s="27"/>
      <c r="P27" s="27"/>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row>
    <row r="28" customFormat="false" ht="14.25" hidden="false" customHeight="true" outlineLevel="0" collapsed="false">
      <c r="A28" s="22"/>
      <c r="B28" s="23"/>
      <c r="C28" s="22"/>
      <c r="D28" s="22"/>
      <c r="E28" s="22"/>
      <c r="F28" s="22"/>
      <c r="G28" s="25"/>
      <c r="H28" s="25"/>
      <c r="I28" s="25"/>
      <c r="J28" s="25"/>
      <c r="K28" s="25"/>
      <c r="L28" s="25"/>
      <c r="M28" s="25"/>
      <c r="N28" s="25"/>
      <c r="O28" s="27"/>
      <c r="P28" s="27"/>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286</v>
      </c>
    </row>
    <row r="3" customFormat="false" ht="14.25" hidden="false" customHeight="true" outlineLevel="0" collapsed="false">
      <c r="A3" s="37" t="s">
        <v>287</v>
      </c>
      <c r="B3" s="37" t="s">
        <v>288</v>
      </c>
      <c r="C3" s="37" t="s">
        <v>289</v>
      </c>
      <c r="D3" s="37" t="s">
        <v>290</v>
      </c>
      <c r="E3" s="37" t="s">
        <v>291</v>
      </c>
      <c r="F3" s="37" t="s">
        <v>292</v>
      </c>
    </row>
    <row r="4" customFormat="false" ht="14.25" hidden="false" customHeight="true" outlineLevel="0" collapsed="false">
      <c r="A4" s="18" t="s">
        <v>293</v>
      </c>
      <c r="B4" s="18" t="s">
        <v>294</v>
      </c>
      <c r="C4" s="18" t="s">
        <v>295</v>
      </c>
      <c r="D4" s="18" t="s">
        <v>296</v>
      </c>
      <c r="E4" s="18" t="s">
        <v>297</v>
      </c>
      <c r="F4" s="18" t="s">
        <v>298</v>
      </c>
    </row>
    <row r="5" customFormat="false" ht="14.25" hidden="false" customHeight="true" outlineLevel="0" collapsed="false">
      <c r="A5" s="18" t="s">
        <v>299</v>
      </c>
      <c r="B5" s="18" t="s">
        <v>300</v>
      </c>
      <c r="C5" s="18" t="s">
        <v>295</v>
      </c>
      <c r="D5" s="18" t="s">
        <v>301</v>
      </c>
      <c r="E5" s="18" t="s">
        <v>297</v>
      </c>
      <c r="F5" s="18" t="s">
        <v>302</v>
      </c>
    </row>
    <row r="6" customFormat="false" ht="26.25" hidden="false" customHeight="true" outlineLevel="0" collapsed="false">
      <c r="A6" s="18" t="s">
        <v>303</v>
      </c>
      <c r="B6" s="18" t="s">
        <v>304</v>
      </c>
      <c r="C6" s="18" t="s">
        <v>295</v>
      </c>
      <c r="D6" s="18" t="s">
        <v>305</v>
      </c>
      <c r="E6" s="18" t="s">
        <v>297</v>
      </c>
      <c r="F6" s="18" t="s">
        <v>306</v>
      </c>
    </row>
    <row r="7" customFormat="false" ht="27.75" hidden="false" customHeight="true" outlineLevel="0" collapsed="false">
      <c r="A7" s="18" t="s">
        <v>307</v>
      </c>
      <c r="B7" s="18" t="s">
        <v>308</v>
      </c>
      <c r="C7" s="18" t="s">
        <v>309</v>
      </c>
      <c r="D7" s="18" t="s">
        <v>310</v>
      </c>
      <c r="E7" s="18" t="s">
        <v>311</v>
      </c>
      <c r="F7" s="18" t="s">
        <v>312</v>
      </c>
    </row>
    <row r="8" customFormat="false" ht="14.25" hidden="false" customHeight="true" outlineLevel="0" collapsed="false">
      <c r="A8" s="18" t="s">
        <v>313</v>
      </c>
      <c r="B8" s="18" t="s">
        <v>314</v>
      </c>
      <c r="C8" s="18" t="s">
        <v>309</v>
      </c>
      <c r="D8" s="18" t="s">
        <v>315</v>
      </c>
      <c r="E8" s="18" t="s">
        <v>316</v>
      </c>
      <c r="F8" s="18" t="s">
        <v>317</v>
      </c>
    </row>
    <row r="9" customFormat="false" ht="14.25" hidden="false" customHeight="true" outlineLevel="0" collapsed="false">
      <c r="A9" s="18" t="s">
        <v>318</v>
      </c>
      <c r="B9" s="18" t="s">
        <v>319</v>
      </c>
      <c r="C9" s="18" t="s">
        <v>320</v>
      </c>
      <c r="D9" s="18" t="s">
        <v>321</v>
      </c>
      <c r="E9" s="18" t="s">
        <v>316</v>
      </c>
      <c r="F9" s="18" t="s">
        <v>322</v>
      </c>
    </row>
    <row r="10" customFormat="false" ht="26.25" hidden="false" customHeight="true" outlineLevel="0" collapsed="false">
      <c r="A10" s="18" t="s">
        <v>323</v>
      </c>
      <c r="B10" s="18" t="s">
        <v>324</v>
      </c>
      <c r="C10" s="18" t="s">
        <v>325</v>
      </c>
      <c r="D10" s="18" t="s">
        <v>326</v>
      </c>
      <c r="E10" s="18" t="s">
        <v>327</v>
      </c>
      <c r="F10" s="18" t="s">
        <v>328</v>
      </c>
    </row>
    <row r="11" customFormat="false" ht="14.25" hidden="false" customHeight="true" outlineLevel="0" collapsed="false">
      <c r="A11" s="18" t="s">
        <v>329</v>
      </c>
      <c r="B11" s="18" t="s">
        <v>330</v>
      </c>
      <c r="C11" s="18" t="s">
        <v>325</v>
      </c>
      <c r="D11" s="18" t="s">
        <v>326</v>
      </c>
      <c r="E11" s="18" t="s">
        <v>327</v>
      </c>
      <c r="F11" s="18" t="s">
        <v>331</v>
      </c>
    </row>
    <row r="12" customFormat="false" ht="14.25" hidden="false" customHeight="true" outlineLevel="0" collapsed="false">
      <c r="A12" s="18" t="s">
        <v>332</v>
      </c>
      <c r="B12" s="18" t="s">
        <v>333</v>
      </c>
      <c r="C12" s="18" t="s">
        <v>325</v>
      </c>
      <c r="D12" s="18" t="s">
        <v>326</v>
      </c>
      <c r="E12" s="18" t="s">
        <v>327</v>
      </c>
      <c r="F12" s="18" t="s">
        <v>334</v>
      </c>
    </row>
    <row r="13" customFormat="false" ht="26.25" hidden="false" customHeight="true" outlineLevel="0" collapsed="false">
      <c r="A13" s="18" t="s">
        <v>335</v>
      </c>
      <c r="B13" s="18" t="s">
        <v>336</v>
      </c>
      <c r="C13" s="18" t="s">
        <v>325</v>
      </c>
      <c r="D13" s="18" t="s">
        <v>326</v>
      </c>
      <c r="E13" s="18" t="s">
        <v>297</v>
      </c>
      <c r="F13" s="18" t="s">
        <v>337</v>
      </c>
    </row>
    <row r="14" customFormat="false" ht="14.25" hidden="false" customHeight="true" outlineLevel="0" collapsed="false">
      <c r="A14" s="18" t="s">
        <v>338</v>
      </c>
      <c r="B14" s="18" t="s">
        <v>339</v>
      </c>
      <c r="C14" s="18" t="s">
        <v>325</v>
      </c>
      <c r="D14" s="18" t="s">
        <v>326</v>
      </c>
      <c r="E14" s="18" t="s">
        <v>327</v>
      </c>
      <c r="F14" s="18" t="s">
        <v>340</v>
      </c>
    </row>
    <row r="15" customFormat="false" ht="39" hidden="false" customHeight="true" outlineLevel="0" collapsed="false">
      <c r="A15" s="18" t="s">
        <v>341</v>
      </c>
      <c r="B15" s="18" t="s">
        <v>342</v>
      </c>
      <c r="C15" s="18" t="s">
        <v>325</v>
      </c>
      <c r="D15" s="18" t="s">
        <v>326</v>
      </c>
      <c r="E15" s="18" t="s">
        <v>316</v>
      </c>
      <c r="F15" s="18" t="s">
        <v>343</v>
      </c>
    </row>
    <row r="16" customFormat="false" ht="26.25" hidden="false" customHeight="true" outlineLevel="0" collapsed="false">
      <c r="A16" s="18" t="s">
        <v>344</v>
      </c>
      <c r="B16" s="18" t="s">
        <v>345</v>
      </c>
      <c r="C16" s="18" t="s">
        <v>325</v>
      </c>
      <c r="D16" s="18" t="s">
        <v>326</v>
      </c>
      <c r="E16" s="18" t="s">
        <v>346</v>
      </c>
      <c r="F16" s="18" t="s">
        <v>347</v>
      </c>
    </row>
    <row r="17" customFormat="false" ht="26.25" hidden="false" customHeight="true" outlineLevel="0" collapsed="false">
      <c r="A17" s="18" t="s">
        <v>348</v>
      </c>
      <c r="B17" s="18" t="s">
        <v>349</v>
      </c>
      <c r="C17" s="18" t="s">
        <v>325</v>
      </c>
      <c r="D17" s="18" t="s">
        <v>326</v>
      </c>
      <c r="E17" s="18" t="s">
        <v>297</v>
      </c>
      <c r="F17" s="18" t="s">
        <v>350</v>
      </c>
    </row>
    <row r="18" customFormat="false" ht="27.75" hidden="false" customHeight="true" outlineLevel="0" collapsed="false">
      <c r="A18" s="18" t="s">
        <v>351</v>
      </c>
      <c r="B18" s="18" t="s">
        <v>352</v>
      </c>
      <c r="C18" s="18" t="s">
        <v>295</v>
      </c>
      <c r="D18" s="18" t="s">
        <v>353</v>
      </c>
      <c r="E18" s="18" t="s">
        <v>316</v>
      </c>
      <c r="F18" s="18" t="s">
        <v>354</v>
      </c>
    </row>
    <row r="19" customFormat="false" ht="14.25" hidden="false" customHeight="true" outlineLevel="0" collapsed="false">
      <c r="A19" s="18" t="s">
        <v>355</v>
      </c>
      <c r="B19" s="18" t="s">
        <v>356</v>
      </c>
      <c r="C19" s="18" t="s">
        <v>295</v>
      </c>
      <c r="D19" s="18" t="s">
        <v>301</v>
      </c>
      <c r="E19" s="18" t="s">
        <v>316</v>
      </c>
      <c r="F19" s="18" t="s">
        <v>357</v>
      </c>
    </row>
    <row r="20" customFormat="false" ht="26.25" hidden="false" customHeight="true" outlineLevel="0" collapsed="false">
      <c r="A20" s="18" t="s">
        <v>358</v>
      </c>
      <c r="B20" s="18" t="s">
        <v>359</v>
      </c>
      <c r="C20" s="18" t="s">
        <v>360</v>
      </c>
      <c r="D20" s="18" t="s">
        <v>361</v>
      </c>
      <c r="E20" s="18" t="s">
        <v>362</v>
      </c>
      <c r="F20" s="18" t="s">
        <v>363</v>
      </c>
    </row>
    <row r="21" customFormat="false" ht="14.25" hidden="false" customHeight="true" outlineLevel="0" collapsed="false">
      <c r="A21" s="18" t="s">
        <v>364</v>
      </c>
      <c r="B21" s="18" t="s">
        <v>365</v>
      </c>
      <c r="C21" s="18" t="s">
        <v>360</v>
      </c>
      <c r="D21" s="18" t="s">
        <v>366</v>
      </c>
      <c r="E21" s="18" t="s">
        <v>362</v>
      </c>
      <c r="F21" s="18" t="s">
        <v>367</v>
      </c>
    </row>
    <row r="22" customFormat="false" ht="14.25" hidden="false" customHeight="true" outlineLevel="0" collapsed="false">
      <c r="A22" s="18" t="s">
        <v>368</v>
      </c>
      <c r="B22" s="18" t="s">
        <v>369</v>
      </c>
      <c r="C22" s="18" t="s">
        <v>360</v>
      </c>
      <c r="D22" s="18" t="s">
        <v>370</v>
      </c>
      <c r="E22" s="18" t="s">
        <v>362</v>
      </c>
      <c r="F22" s="18" t="s">
        <v>371</v>
      </c>
    </row>
    <row r="23" customFormat="false" ht="51.75" hidden="false" customHeight="true" outlineLevel="0" collapsed="false">
      <c r="A23" s="18" t="s">
        <v>372</v>
      </c>
      <c r="B23" s="18" t="s">
        <v>373</v>
      </c>
      <c r="C23" s="18" t="s">
        <v>360</v>
      </c>
      <c r="D23" s="18" t="s">
        <v>374</v>
      </c>
      <c r="E23" s="18" t="s">
        <v>362</v>
      </c>
      <c r="F23" s="18" t="s">
        <v>375</v>
      </c>
    </row>
    <row r="24" customFormat="false" ht="14.25" hidden="false" customHeight="true" outlineLevel="0" collapsed="false">
      <c r="A24" s="18" t="s">
        <v>376</v>
      </c>
      <c r="B24" s="18" t="s">
        <v>377</v>
      </c>
      <c r="C24" s="18" t="s">
        <v>360</v>
      </c>
      <c r="D24" s="18" t="s">
        <v>378</v>
      </c>
      <c r="E24" s="18" t="s">
        <v>362</v>
      </c>
      <c r="F24" s="18" t="s">
        <v>379</v>
      </c>
    </row>
    <row r="25" customFormat="false" ht="39" hidden="false" customHeight="true" outlineLevel="0" collapsed="false">
      <c r="A25" s="18" t="s">
        <v>380</v>
      </c>
      <c r="B25" s="18" t="s">
        <v>381</v>
      </c>
      <c r="C25" s="18" t="s">
        <v>309</v>
      </c>
      <c r="D25" s="18" t="s">
        <v>382</v>
      </c>
      <c r="E25" s="18" t="s">
        <v>297</v>
      </c>
      <c r="F25" s="18" t="s">
        <v>383</v>
      </c>
    </row>
    <row r="26" customFormat="false" ht="26.25" hidden="false" customHeight="true" outlineLevel="0" collapsed="false">
      <c r="A26" s="18" t="s">
        <v>384</v>
      </c>
      <c r="B26" s="18" t="s">
        <v>385</v>
      </c>
      <c r="C26" s="18" t="s">
        <v>309</v>
      </c>
      <c r="D26" s="18" t="s">
        <v>386</v>
      </c>
      <c r="E26" s="18" t="s">
        <v>387</v>
      </c>
      <c r="F26" s="18" t="s">
        <v>388</v>
      </c>
    </row>
    <row r="27" customFormat="false" ht="51.75" hidden="false" customHeight="true" outlineLevel="0" collapsed="false">
      <c r="A27" s="18" t="s">
        <v>389</v>
      </c>
      <c r="B27" s="18" t="s">
        <v>390</v>
      </c>
      <c r="C27" s="18" t="s">
        <v>325</v>
      </c>
      <c r="D27" s="18" t="s">
        <v>391</v>
      </c>
      <c r="E27" s="18" t="s">
        <v>392</v>
      </c>
      <c r="F27" s="18" t="s">
        <v>393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2026-07-23T16:40:31Z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