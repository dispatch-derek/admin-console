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38620" windowHeight="21100" tabRatio="500" firstSheet="0" activeTab="3" autoFilterDateGrouping="1"/>
  </bookViews>
  <sheets>
    <sheet xmlns:r="http://schemas.openxmlformats.org/officeDocument/2006/relationships" name="README" sheetId="1" state="visible" r:id="rId1"/>
    <sheet xmlns:r="http://schemas.openxmlformats.org/officeDocument/2006/relationships" name="Config" sheetId="2" state="visible" r:id="rId2"/>
    <sheet xmlns:r="http://schemas.openxmlformats.org/officeDocument/2006/relationships" name="Rubric" sheetId="3" state="visible" r:id="rId3"/>
    <sheet xmlns:r="http://schemas.openxmlformats.org/officeDocument/2006/relationships" name="Scoring" sheetId="4" state="visible" r:id="rId4"/>
    <sheet xmlns:r="http://schemas.openxmlformats.org/officeDocument/2006/relationships" name="Data Dictionary" sheetId="5" state="visible" r:id="rId5"/>
  </sheets>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3">
    <font>
      <name val="Calibri"/>
      <charset val="1"/>
      <family val="2"/>
      <color theme="1"/>
      <sz val="11"/>
    </font>
    <font>
      <name val="Arial"/>
      <charset val="1"/>
      <b val="1"/>
      <color rgb="FF1F3864"/>
      <sz val="14"/>
    </font>
    <font>
      <name val="Arial"/>
      <charset val="1"/>
      <sz val="11"/>
    </font>
    <font>
      <name val="Arial"/>
      <charset val="1"/>
      <b val="1"/>
      <color rgb="FF1F3864"/>
      <sz val="11"/>
    </font>
    <font>
      <name val="Arial"/>
      <charset val="1"/>
      <b val="1"/>
      <color rgb="FF1F3864"/>
      <sz val="12"/>
    </font>
    <font>
      <name val="Arial"/>
      <charset val="1"/>
      <color rgb="FF0000FF"/>
      <sz val="11"/>
    </font>
    <font>
      <name val="Arial"/>
      <charset val="1"/>
      <i val="1"/>
      <sz val="11"/>
    </font>
    <font>
      <name val="Arial"/>
      <charset val="1"/>
      <color rgb="FF000000"/>
      <sz val="11"/>
    </font>
    <font>
      <name val="Arial"/>
      <charset val="1"/>
      <i val="1"/>
      <sz val="9"/>
    </font>
    <font>
      <name val="Arial"/>
      <charset val="1"/>
      <b val="1"/>
      <color rgb="FFFFFFFF"/>
      <sz val="11"/>
    </font>
    <font>
      <name val="Arial"/>
      <charset val="1"/>
      <b val="1"/>
      <sz val="11"/>
    </font>
    <font>
      <name val="Calibri"/>
      <charset val="1"/>
      <family val="2"/>
      <color theme="10"/>
      <sz val="11"/>
      <u val="single"/>
    </font>
    <font>
      <name val="Arial"/>
      <charset val="1"/>
      <family val="2"/>
      <color rgb="FF0000FF"/>
      <sz val="11"/>
    </font>
  </fonts>
  <fills count="6">
    <fill>
      <patternFill/>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pivotButton="0" quotePrefix="0" xfId="0"/>
    <xf numFmtId="0" fontId="3" fillId="2" borderId="0" pivotButton="0" quotePrefix="0" xfId="0"/>
    <xf numFmtId="0" fontId="0" fillId="2" borderId="0" pivotButton="0" quotePrefix="0" xfId="0"/>
    <xf numFmtId="0" fontId="2" fillId="0" borderId="0" pivotButton="0" quotePrefix="0" xfId="0"/>
    <xf numFmtId="9" fontId="5" fillId="0" borderId="0" pivotButton="0" quotePrefix="0" xfId="0"/>
    <xf numFmtId="0" fontId="6" fillId="0" borderId="0" pivotButton="0" quotePrefix="0" xfId="0"/>
    <xf numFmtId="0" fontId="7" fillId="0" borderId="0" pivotButton="0" quotePrefix="0" xfId="0"/>
    <xf numFmtId="0" fontId="5" fillId="0" borderId="0" pivotButton="0" quotePrefix="0" xfId="0"/>
    <xf numFmtId="2" fontId="5" fillId="0" borderId="0" pivotButton="0" quotePrefix="0" xfId="0"/>
    <xf numFmtId="1" fontId="5" fillId="0" borderId="0" pivotButton="0" quotePrefix="0" xfId="0"/>
    <xf numFmtId="0" fontId="8" fillId="0" borderId="0" pivotButton="0" quotePrefix="0" xfId="0"/>
    <xf numFmtId="0" fontId="9" fillId="3" borderId="1" applyAlignment="1" pivotButton="0" quotePrefix="0" xfId="0">
      <alignment horizontal="center" vertical="center"/>
    </xf>
    <xf numFmtId="0" fontId="10" fillId="0" borderId="1" applyAlignment="1" pivotButton="0" quotePrefix="0" xfId="0">
      <alignment vertical="top" wrapText="1"/>
    </xf>
    <xf numFmtId="0" fontId="2" fillId="0" borderId="1" applyAlignment="1" pivotButton="0" quotePrefix="0" xfId="0">
      <alignment vertical="top" wrapText="1"/>
    </xf>
    <xf numFmtId="0" fontId="10" fillId="0" borderId="0" applyAlignment="1" pivotButton="0" quotePrefix="0" xfId="0">
      <alignment vertical="top" wrapText="1"/>
    </xf>
    <xf numFmtId="0" fontId="0" fillId="0" borderId="0" applyAlignment="1" pivotButton="0" quotePrefix="0" xfId="0">
      <alignment wrapText="1"/>
    </xf>
    <xf numFmtId="0" fontId="9" fillId="3" borderId="1" applyAlignment="1" pivotButton="0" quotePrefix="0" xfId="0">
      <alignment horizontal="center" vertical="center" wrapText="1"/>
    </xf>
    <xf numFmtId="0" fontId="5" fillId="4" borderId="1" pivotButton="0" quotePrefix="0" xfId="0"/>
    <xf numFmtId="0" fontId="5" fillId="4" borderId="1" applyAlignment="1" pivotButton="0" quotePrefix="0" xfId="0">
      <alignment wrapText="1"/>
    </xf>
    <xf numFmtId="14" fontId="5" fillId="4" borderId="1" pivotButton="0" quotePrefix="0" xfId="0"/>
    <xf numFmtId="0" fontId="5" fillId="4" borderId="1" applyAlignment="1" pivotButton="0" quotePrefix="0" xfId="0">
      <alignment horizontal="center" vertical="center"/>
    </xf>
    <xf numFmtId="0" fontId="11" fillId="4" borderId="1" applyAlignment="1" pivotButton="0" quotePrefix="0" xfId="0">
      <alignment vertical="top" wrapText="1"/>
    </xf>
    <xf numFmtId="0" fontId="5" fillId="4" borderId="1" applyAlignment="1" pivotButton="0" quotePrefix="0" xfId="0">
      <alignment vertical="top" wrapText="1"/>
    </xf>
    <xf numFmtId="2" fontId="7" fillId="5" borderId="1" applyAlignment="1" pivotButton="0" quotePrefix="0" xfId="0">
      <alignment horizontal="center" vertical="center"/>
    </xf>
    <xf numFmtId="164" fontId="7" fillId="5" borderId="1" applyAlignment="1" pivotButton="0" quotePrefix="0" xfId="0">
      <alignment horizontal="center" vertical="center"/>
    </xf>
    <xf numFmtId="1" fontId="7" fillId="5" borderId="1" applyAlignment="1" pivotButton="0" quotePrefix="0" xfId="0">
      <alignment horizontal="center" vertical="center"/>
    </xf>
    <xf numFmtId="0" fontId="12" fillId="4" borderId="1" applyAlignment="1" pivotButton="0" quotePrefix="0" xfId="0">
      <alignment wrapText="1"/>
    </xf>
    <xf numFmtId="165" fontId="5" fillId="4" borderId="1" pivotButton="0" quotePrefix="0" xfId="0"/>
    <xf numFmtId="0" fontId="5" fillId="4" borderId="2" pivotButton="0" quotePrefix="0" xfId="0"/>
    <xf numFmtId="0" fontId="12" fillId="4" borderId="1" pivotButton="0" quotePrefix="0" xfId="0"/>
    <xf numFmtId="0" fontId="11" fillId="4" borderId="1" pivotButton="0" quotePrefix="0" xfId="0"/>
    <xf numFmtId="0" fontId="9" fillId="3" borderId="1"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s://www.toptal.com/designers/design-systems/benefits-of-design-system" TargetMode="External" Id="rId1"/><Relationship Type="http://schemas.openxmlformats.org/officeDocument/2006/relationships/hyperlink" Target="https://github.com/dispatch-derek/admin-console/issues/7" TargetMode="External" Id="rId2"/><Relationship Type="http://schemas.openxmlformats.org/officeDocument/2006/relationships/hyperlink" Target="https://github.com/dispatch-derek/admin-console/issues/9" TargetMode="External" Id="rId3"/></Relationships>
</file>

<file path=xl/worksheets/sheet1.xml><?xml version="1.0" encoding="utf-8"?>
<worksheet xmlns="http://schemas.openxmlformats.org/spreadsheetml/2006/main">
  <sheetPr>
    <outlinePr summaryBelow="1" summaryRight="1"/>
    <pageSetUpPr/>
  </sheetPr>
  <dimension ref="A1:A27"/>
  <sheetViews>
    <sheetView zoomScaleNormal="100" workbookViewId="0">
      <selection activeCell="A5" sqref="A5"/>
    </sheetView>
  </sheetViews>
  <sheetFormatPr baseColWidth="8" defaultColWidth="8.6328125" defaultRowHeight="14.5"/>
  <cols>
    <col width="110" customWidth="1" min="1" max="1"/>
  </cols>
  <sheetData>
    <row r="1" ht="18" customHeight="1">
      <c r="A1" s="1" t="inlineStr">
        <is>
          <t>FEATURE VALUE SCORING FRAMEWORK</t>
        </is>
      </c>
    </row>
    <row r="2" ht="27.75" customHeight="1">
      <c r="A2" s="2" t="inlineStr">
        <is>
          <t>Purpose: a shared scoring surface completed by humans and/or a market research agent, then consumed by feature prioritization agents. Also tracks customer-reported defects and internally-found bugs (Item Type = Defect) alongside new-feature ideas, so both compete in one ranked backlog.</t>
        </is>
      </c>
    </row>
    <row r="3" ht="14.25" customHeight="1">
      <c r="A3" s="2" t="n"/>
    </row>
    <row r="4" ht="14.25" customHeight="1">
      <c r="A4" s="3" t="inlineStr">
        <is>
          <t>HOW TO USE</t>
        </is>
      </c>
    </row>
    <row r="5" ht="27.75" customHeight="1">
      <c r="A5" s="2" t="inlineStr">
        <is>
          <t>1. Add one row per feature idea on the Scoring sheet. Feature ID and Name are required; link the feature brief in the Brief Reference column.</t>
        </is>
      </c>
    </row>
    <row r="6" ht="27.75" customHeight="1">
      <c r="A6" s="2" t="inlineStr">
        <is>
          <t>2. For Feature rows: score the eight input dimensions (columns G-N) on a 1-10 scale using the anchors on the Rubric sheet. For Defect rows: set Item Type (V), Defect Source (W), and Severity (X) instead - see the DEFECTS &amp; BUGS section below.</t>
        </is>
      </c>
    </row>
    <row r="7" ht="27.75" customHeight="1">
      <c r="A7" s="2" t="inlineStr">
        <is>
          <t>3. Record evidence sources and rationale (columns O-P). Agents must cite sources; humans should note the basis for judgment calls.</t>
        </is>
      </c>
    </row>
    <row r="8" ht="14.25" customHeight="1">
      <c r="A8" s="2" t="inlineStr">
        <is>
          <t>4. Columns Q-U calculate automatically. Do not type into them.</t>
        </is>
      </c>
    </row>
    <row r="9" ht="27.75" customHeight="1">
      <c r="A9" s="2" t="inlineStr">
        <is>
          <t>5. Adjust dimension weights on the Config sheet to match product strategy. Weights must sum to 100% (checked in Config!B9).</t>
        </is>
      </c>
    </row>
    <row r="10" ht="14.25" customHeight="1">
      <c r="A10" s="2" t="n"/>
    </row>
    <row r="11" ht="14.25" customHeight="1">
      <c r="A11" s="3" t="inlineStr">
        <is>
          <t>SCORING MODEL</t>
        </is>
      </c>
    </row>
    <row r="12" ht="27.75" customHeight="1">
      <c r="A12" s="2" t="inlineStr">
        <is>
          <t>Weighted Value = SUM(dimension score x weight) across Reach, User Value, Business Value, Strategic Alignment, Time Sensitivity.</t>
        </is>
      </c>
    </row>
    <row r="13" ht="14.25" customHeight="1">
      <c r="A13" s="2" t="inlineStr">
        <is>
          <t>Priority Score (0-100) = MIN(100, Weighted Value x Confidence Multiplier x Risk Factor / Effort x 20). The cap only binds for very low effort (1 = hours-to-a-day on the 10-pt scale).</t>
        </is>
      </c>
    </row>
    <row r="14" ht="27.75" customHeight="1">
      <c r="A14" s="2" t="inlineStr">
        <is>
          <t>Confidence and Risk map to multipliers via lookup tables on the Config sheet, so a low-confidence or high-risk idea is discounted rather than excluded.</t>
        </is>
      </c>
    </row>
    <row r="15" ht="14.25" customHeight="1">
      <c r="A15" s="2" t="n"/>
    </row>
    <row r="16" ht="14.25" customHeight="1">
      <c r="A16" s="3" t="inlineStr">
        <is>
          <t>FOR AGENTS (machine-readable contract)</t>
        </is>
      </c>
    </row>
    <row r="17" ht="27.75" customHeight="1">
      <c r="A17" s="2" t="inlineStr">
        <is>
          <t>The Data Dictionary sheet defines every field: stable field_id, type, allowed values, and which actor (human / research agent / formula) owns it.</t>
        </is>
      </c>
    </row>
    <row r="18" ht="27.75" customHeight="1">
      <c r="A18" s="2" t="inlineStr">
        <is>
          <t>Market research agents fill only INPUT fields and must populate evidence_sources. Prioritization agents read OUTPUT fields and must not overwrite formulas.</t>
        </is>
      </c>
    </row>
    <row r="19" ht="14.25" customHeight="1">
      <c r="A19" s="2" t="inlineStr">
        <is>
          <t>Rows 4-7 of the Scoring sheet contain worked Feature examples; row 8 is a worked Defect example. Clear or overwrite them with real data.</t>
        </is>
      </c>
    </row>
    <row r="21" ht="14.25" customHeight="1">
      <c r="A21" s="3" t="inlineStr">
        <is>
          <t>DEFECTS &amp; BUGS</t>
        </is>
      </c>
    </row>
    <row r="22" ht="26.25" customHeight="1">
      <c r="A22" s="2" t="inlineStr">
        <is>
          <t>1. Log a defect or bug as its own row on the Scoring sheet: Item Type (column V) = Defect, Defect Source (W) = Customer-Reported or Internal, Severity (X, still 1-5, see Rubric) instead of the eight feature dimensions.</t>
        </is>
      </c>
    </row>
    <row r="23" ht="26.25" customHeight="1">
      <c r="A23" s="2" t="inlineStr">
        <is>
          <t>2. Defects use a severity-driven fast-track priority formula (Config sheet): Severity base score x Reach factor x Confidence multiplier, capped at 100. It bypasses Weighted Value, Strategic Alignment, and the Effort divisor entirely - see Priority Score in the Data Dictionary.</t>
        </is>
      </c>
    </row>
    <row r="24" ht="26.25" customHeight="1">
      <c r="A24" s="2" t="inlineStr">
        <is>
          <t>3. Reach (G) and Confidence (L) are still scored for defects using the same Rubric anchors, reinterpreted: Reach = share of customers who hit the bug; Confidence = strength of the repro/evidence behind Severity and Reach.</t>
        </is>
      </c>
    </row>
    <row r="25" ht="14.25" customHeight="1">
      <c r="A25" s="2" t="inlineStr">
        <is>
          <t>4. Effort (M) and Risk (N) are optional for Defect rows - useful for fix-effort and regression-risk planning, but not part of the Defect priority formula.</t>
        </is>
      </c>
    </row>
    <row r="26" ht="14.25" customHeight="1">
      <c r="A26" s="2" t="inlineStr">
        <is>
          <t>5. Status lifecycle differs by Item Type - see the Data Dictionary Status row for the full enum and which subset applies to Feature vs Defect rows.</t>
        </is>
      </c>
    </row>
    <row r="27" ht="26.25" customHeight="1">
      <c r="A27" s="2" t="inlineStr">
        <is>
          <t>6. Once a Defect row is Scored or Prioritized, run /fix-defect-or-bug &lt;feature_id&gt; to dispatch the fix pipeline (reproduce, fail a regression test, fix, verify, review).</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J28"/>
  <sheetViews>
    <sheetView zoomScaleNormal="100" workbookViewId="0">
      <selection activeCell="E32" sqref="E32"/>
    </sheetView>
  </sheetViews>
  <sheetFormatPr baseColWidth="8" defaultColWidth="8.6328125" defaultRowHeight="14.5"/>
  <cols>
    <col width="34" customWidth="1" min="1" max="1"/>
    <col width="12" customWidth="1" min="2" max="2"/>
    <col width="4" customWidth="1" min="3" max="3"/>
    <col width="14" customWidth="1" min="4" max="4"/>
    <col width="12" customWidth="1" min="5" max="5"/>
  </cols>
  <sheetData>
    <row r="1" ht="15" customHeight="1">
      <c r="A1" s="4" t="inlineStr">
        <is>
          <t>CONFIGURATION - dimension weights and multiplier maps</t>
        </is>
      </c>
    </row>
    <row r="3" ht="14.25" customHeight="1">
      <c r="A3" s="5" t="inlineStr">
        <is>
          <t>Value Dimension Weights (must sum to 100%)</t>
        </is>
      </c>
      <c r="B3" s="6" t="n"/>
    </row>
    <row r="4" ht="14.25" customHeight="1">
      <c r="A4" s="7" t="inlineStr">
        <is>
          <t>Reach</t>
        </is>
      </c>
      <c r="B4" s="8" t="n">
        <v>0.2</v>
      </c>
    </row>
    <row r="5" ht="14.25" customHeight="1">
      <c r="A5" s="7" t="inlineStr">
        <is>
          <t>User Value</t>
        </is>
      </c>
      <c r="B5" s="8" t="n">
        <v>0.25</v>
      </c>
    </row>
    <row r="6" ht="14.25" customHeight="1">
      <c r="A6" s="7" t="inlineStr">
        <is>
          <t>Business Value</t>
        </is>
      </c>
      <c r="B6" s="8" t="n">
        <v>0.25</v>
      </c>
    </row>
    <row r="7" ht="14.25" customHeight="1">
      <c r="A7" s="7" t="inlineStr">
        <is>
          <t>Strategic Alignment</t>
        </is>
      </c>
      <c r="B7" s="8" t="n">
        <v>0.2</v>
      </c>
    </row>
    <row r="8" ht="14.25" customHeight="1">
      <c r="A8" s="7" t="inlineStr">
        <is>
          <t>Time Sensitivity</t>
        </is>
      </c>
      <c r="B8" s="8" t="n">
        <v>0.1</v>
      </c>
    </row>
    <row r="9" ht="14.25" customHeight="1">
      <c r="A9" s="9" t="inlineStr">
        <is>
          <t>Weight check</t>
        </is>
      </c>
      <c r="B9" s="10">
        <f>IF(SUM(B4:B8)=1,"OK","ERROR: weights must sum to 100%")</f>
        <v/>
      </c>
    </row>
    <row r="11" ht="14.25" customHeight="1">
      <c r="A11" s="5" t="inlineStr">
        <is>
          <t>Confidence Multiplier Map</t>
        </is>
      </c>
      <c r="B11" s="6" t="n"/>
      <c r="D11" s="5" t="inlineStr">
        <is>
          <t>Risk Factor Map</t>
        </is>
      </c>
      <c r="E11" s="6" t="n"/>
      <c r="G11" s="5" t="inlineStr">
        <is>
          <t>Defect Severity -&gt; Priority Base Map</t>
        </is>
      </c>
      <c r="I11" s="5" t="inlineStr">
        <is>
          <t>Defect Reach -&gt; Multiplier Map</t>
        </is>
      </c>
    </row>
    <row r="12" ht="14.25" customHeight="1">
      <c r="A12" s="11" t="n">
        <v>1</v>
      </c>
      <c r="B12" s="12" t="n">
        <v>0.45</v>
      </c>
      <c r="D12" s="11" t="n">
        <v>1</v>
      </c>
      <c r="E12" s="12" t="n">
        <v>1</v>
      </c>
      <c r="G12" s="11" t="n">
        <v>1</v>
      </c>
      <c r="H12" s="13" t="n">
        <v>10</v>
      </c>
      <c r="I12" s="11" t="n">
        <v>1</v>
      </c>
      <c r="J12" s="12" t="n">
        <v>0.75</v>
      </c>
    </row>
    <row r="13" ht="14.25" customHeight="1">
      <c r="A13" s="11" t="n">
        <v>2</v>
      </c>
      <c r="B13" s="12" t="n">
        <v>0.5</v>
      </c>
      <c r="D13" s="11" t="n">
        <v>2</v>
      </c>
      <c r="E13" s="12" t="n">
        <v>1</v>
      </c>
      <c r="G13" s="11" t="n">
        <v>2</v>
      </c>
      <c r="H13" s="13" t="n">
        <v>30</v>
      </c>
      <c r="I13" s="11" t="n">
        <v>2</v>
      </c>
      <c r="J13" s="12" t="n">
        <v>0.8</v>
      </c>
    </row>
    <row r="14" ht="14.25" customHeight="1">
      <c r="A14" s="11" t="n">
        <v>3</v>
      </c>
      <c r="B14" s="12" t="n">
        <v>0.58</v>
      </c>
      <c r="D14" s="11" t="n">
        <v>3</v>
      </c>
      <c r="E14" s="12" t="n">
        <v>0.95</v>
      </c>
      <c r="G14" s="11" t="n">
        <v>3</v>
      </c>
      <c r="H14" s="13" t="n">
        <v>55</v>
      </c>
      <c r="I14" s="11" t="n">
        <v>3</v>
      </c>
      <c r="J14" s="12" t="n">
        <v>0.85</v>
      </c>
    </row>
    <row r="15" ht="14.25" customHeight="1">
      <c r="A15" s="11" t="n">
        <v>4</v>
      </c>
      <c r="B15" s="12" t="n">
        <v>0.65</v>
      </c>
      <c r="D15" s="11" t="n">
        <v>4</v>
      </c>
      <c r="E15" s="12" t="n">
        <v>0.9</v>
      </c>
      <c r="G15" s="11" t="n">
        <v>4</v>
      </c>
      <c r="H15" s="13" t="n">
        <v>80</v>
      </c>
      <c r="I15" s="11" t="n">
        <v>4</v>
      </c>
      <c r="J15" s="12" t="n">
        <v>0.9</v>
      </c>
    </row>
    <row r="16" ht="14.25" customHeight="1">
      <c r="A16" s="11" t="n">
        <v>5</v>
      </c>
      <c r="B16" s="12" t="n">
        <v>0.73</v>
      </c>
      <c r="D16" s="11" t="n">
        <v>5</v>
      </c>
      <c r="E16" s="12" t="n">
        <v>0.85</v>
      </c>
      <c r="G16" s="11" t="n">
        <v>5</v>
      </c>
      <c r="H16" s="13" t="n">
        <v>100</v>
      </c>
      <c r="I16" s="11" t="n">
        <v>5</v>
      </c>
      <c r="J16" s="12" t="n">
        <v>0.95</v>
      </c>
    </row>
    <row r="17" ht="14.25" customHeight="1">
      <c r="A17" s="11" t="n">
        <v>6</v>
      </c>
      <c r="B17" s="12" t="n">
        <v>0.8</v>
      </c>
      <c r="D17" s="11" t="n">
        <v>6</v>
      </c>
      <c r="E17" s="12" t="n">
        <v>0.8</v>
      </c>
      <c r="I17" s="11" t="n">
        <v>6</v>
      </c>
      <c r="J17" s="12" t="n">
        <v>1</v>
      </c>
    </row>
    <row r="18" ht="14.25" customHeight="1">
      <c r="A18" s="11" t="n">
        <v>7</v>
      </c>
      <c r="B18" s="12" t="n">
        <v>0.85</v>
      </c>
      <c r="D18" s="11" t="n">
        <v>7</v>
      </c>
      <c r="E18" s="12" t="n">
        <v>0.75</v>
      </c>
      <c r="I18" s="11" t="n">
        <v>7</v>
      </c>
      <c r="J18" s="12" t="n">
        <v>1.05</v>
      </c>
    </row>
    <row r="19" ht="14.25" customHeight="1">
      <c r="A19" s="11" t="n">
        <v>8</v>
      </c>
      <c r="B19" s="12" t="n">
        <v>0.9</v>
      </c>
      <c r="D19" s="11" t="n">
        <v>8</v>
      </c>
      <c r="E19" s="12" t="n">
        <v>0.7</v>
      </c>
      <c r="I19" s="11" t="n">
        <v>8</v>
      </c>
      <c r="J19" s="12" t="n">
        <v>1.1</v>
      </c>
    </row>
    <row r="20" ht="14.25" customHeight="1">
      <c r="A20" s="11" t="n">
        <v>9</v>
      </c>
      <c r="B20" s="12" t="n">
        <v>0.95</v>
      </c>
      <c r="D20" s="11" t="n">
        <v>9</v>
      </c>
      <c r="E20" s="12" t="n">
        <v>0.65</v>
      </c>
      <c r="I20" s="11" t="n">
        <v>9</v>
      </c>
      <c r="J20" s="12" t="n">
        <v>1.15</v>
      </c>
    </row>
    <row r="21" ht="14.25" customHeight="1">
      <c r="A21" s="11" t="n">
        <v>10</v>
      </c>
      <c r="B21" s="12" t="n">
        <v>1</v>
      </c>
      <c r="D21" s="11" t="n">
        <v>10</v>
      </c>
      <c r="E21" s="12" t="n">
        <v>0.6</v>
      </c>
      <c r="I21" s="11" t="n">
        <v>10</v>
      </c>
      <c r="J21" s="12" t="n">
        <v>1.2</v>
      </c>
    </row>
    <row r="22" ht="14.25" customHeight="1">
      <c r="A22" s="14" t="n"/>
    </row>
    <row r="23" ht="14.25" customHeight="1">
      <c r="A23" s="14" t="inlineStr">
        <is>
          <t>Confidence score (1-10) -&gt; multiplier applied to Weighted Value (RICE-style discount for weak evidence). Even keys carry the pre-2026-07 5-pt map values (old score x2 = same multiplier).</t>
        </is>
      </c>
    </row>
    <row r="24" ht="14.25" customHeight="1">
      <c r="A24" s="14" t="inlineStr">
        <is>
          <t>Risk score (1-10) -&gt; factor applied to Weighted Value (higher risk = larger discount). Even keys carry the pre-2026-07 5-pt map values.</t>
        </is>
      </c>
    </row>
    <row r="25" ht="14.25" customHeight="1">
      <c r="A25" s="14" t="n"/>
    </row>
    <row r="26" ht="14.25" customHeight="1">
      <c r="A26" s="14" t="inlineStr">
        <is>
          <t>Defect severity (still 1-5; industry Sev alignment) -&gt; base priority-score map (severity fast-track model; bypasses weighted_value, strategic_alignment, and effort entirely).</t>
        </is>
      </c>
    </row>
    <row r="27" ht="14.25" customHeight="1">
      <c r="A27" s="14" t="inlineStr">
        <is>
          <t>Defect reach (1-10) -&gt; small multiplier (customer breadth is secondary to severity in the fast-track model, unlike the Feature formula where it's a primary weighted dimension).</t>
        </is>
      </c>
    </row>
    <row r="28" ht="14.25" customHeight="1">
      <c r="A28" s="14" t="inlineStr">
        <is>
          <t>defect_priority_score = MIN(100, ROUND(severity_base x reach_factor x confidence_mult, 1)). confidence_mult is the same lookup used by the Feature formula (Confidence Multiplier Map above).</t>
        </is>
      </c>
    </row>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K12"/>
  <sheetViews>
    <sheetView zoomScaleNormal="100" workbookViewId="0">
      <selection activeCell="B19" sqref="B19"/>
    </sheetView>
  </sheetViews>
  <sheetFormatPr baseColWidth="8" defaultColWidth="8.6328125" defaultRowHeight="14.5"/>
  <cols>
    <col width="22" customWidth="1" min="1" max="1"/>
    <col width="34" customWidth="1" min="2" max="6"/>
  </cols>
  <sheetData>
    <row r="1" ht="15" customHeight="1">
      <c r="A1" s="4" t="inlineStr">
        <is>
          <t>SCORING RUBRIC - anchors for each 1-10 dimension (even scores = the pre-2026-07 5-pt anchors; Severity stays 1-5)</t>
        </is>
      </c>
    </row>
    <row r="2" ht="14.25" customHeight="1">
      <c r="B2" t="inlineStr">
        <is>
          <t>1</t>
        </is>
      </c>
      <c r="C2" t="inlineStr">
        <is>
          <t>2</t>
        </is>
      </c>
      <c r="D2" t="inlineStr">
        <is>
          <t>3</t>
        </is>
      </c>
      <c r="E2" t="inlineStr">
        <is>
          <t>4</t>
        </is>
      </c>
      <c r="F2" t="inlineStr">
        <is>
          <t>5</t>
        </is>
      </c>
      <c r="G2" t="inlineStr">
        <is>
          <t>6</t>
        </is>
      </c>
      <c r="H2" t="inlineStr">
        <is>
          <t>7</t>
        </is>
      </c>
      <c r="I2" t="inlineStr">
        <is>
          <t>8</t>
        </is>
      </c>
      <c r="J2" t="inlineStr">
        <is>
          <t>9</t>
        </is>
      </c>
      <c r="K2" t="inlineStr">
        <is>
          <t>10</t>
        </is>
      </c>
    </row>
    <row r="3" ht="14.25" customHeight="1">
      <c r="A3" s="15" t="inlineStr">
        <is>
          <t>Dimension</t>
        </is>
      </c>
      <c r="B3" s="15" t="inlineStr">
        <is>
          <t>1</t>
        </is>
      </c>
      <c r="C3" s="15" t="inlineStr">
        <is>
          <t>2</t>
        </is>
      </c>
      <c r="D3" s="15" t="inlineStr">
        <is>
          <t>3</t>
        </is>
      </c>
      <c r="E3" s="15" t="inlineStr">
        <is>
          <t>4</t>
        </is>
      </c>
      <c r="F3" s="15" t="inlineStr">
        <is>
          <t>5</t>
        </is>
      </c>
    </row>
    <row r="4" ht="43.5" customHeight="1">
      <c r="A4" s="16" t="inlineStr">
        <is>
          <t>Reach</t>
        </is>
      </c>
      <c r="B4" s="17" t="inlineStr">
        <is>
          <t>Touches &lt;3% of target users; rare edge case</t>
        </is>
      </c>
      <c r="C4" s="17" t="inlineStr">
        <is>
          <t>Touches &lt;5% of target users or a rare edge case</t>
        </is>
      </c>
      <c r="D4" s="17" t="inlineStr">
        <is>
          <t>Touches 5-10% of users, infrequent use</t>
        </is>
      </c>
      <c r="E4" s="17" t="inlineStr">
        <is>
          <t>Touches 5-15% of users, or infrequent use</t>
        </is>
      </c>
      <c r="F4" s="17" t="inlineStr">
        <is>
          <t>Touches 15-25% of users with regular use</t>
        </is>
      </c>
      <c r="G4" s="17" t="inlineStr">
        <is>
          <t>Touches 15-40% of users with regular use</t>
        </is>
      </c>
      <c r="H4" s="17" t="inlineStr">
        <is>
          <t>Touches 40-55% of users frequently</t>
        </is>
      </c>
      <c r="I4" s="17" t="inlineStr">
        <is>
          <t>Touches 40-70% of users frequently</t>
        </is>
      </c>
      <c r="J4" s="17" t="inlineStr">
        <is>
          <t>Touches 70-85% of users in daily workflows</t>
        </is>
      </c>
      <c r="K4" s="17" t="inlineStr">
        <is>
          <t>Touches &gt;70% of users in core daily workflows</t>
        </is>
      </c>
    </row>
    <row r="5" ht="43.5" customHeight="1">
      <c r="A5" s="16" t="inlineStr">
        <is>
          <t>User Value</t>
        </is>
      </c>
      <c r="B5" s="17" t="inlineStr">
        <is>
          <t>Purely cosmetic; no user would notice its absence</t>
        </is>
      </c>
      <c r="C5" s="17" t="inlineStr">
        <is>
          <t>Cosmetic; no measurable pain relieved</t>
        </is>
      </c>
      <c r="D5" s="17" t="inlineStr">
        <is>
          <t>Minor convenience; trivial workaround</t>
        </is>
      </c>
      <c r="E5" s="17" t="inlineStr">
        <is>
          <t>Minor convenience; mild pain, easy workaround exists</t>
        </is>
      </c>
      <c r="F5" s="17" t="inlineStr">
        <is>
          <t>Real pain, but the workaround is tolerable</t>
        </is>
      </c>
      <c r="G5" s="17" t="inlineStr">
        <is>
          <t>Solves a real pain with a clumsy workaround today</t>
        </is>
      </c>
      <c r="H5" s="17" t="inlineStr">
        <is>
          <t>Frequent pain; workaround is costly or error-prone</t>
        </is>
      </c>
      <c r="I5" s="17" t="inlineStr">
        <is>
          <t>Removes a frequent, significant pain point</t>
        </is>
      </c>
      <c r="J5" s="17" t="inlineStr">
        <is>
          <t>Near top-tier pain, or partially unlocks a new job-to-be-done</t>
        </is>
      </c>
      <c r="K5" s="17" t="inlineStr">
        <is>
          <t>Eliminates a top-3 user pain or unlocks a new job-to-be-done</t>
        </is>
      </c>
    </row>
    <row r="6" ht="43.5" customHeight="1">
      <c r="A6" s="16" t="inlineStr">
        <is>
          <t>Business Value</t>
        </is>
      </c>
      <c r="B6" s="17" t="inlineStr">
        <is>
          <t>No conceivable business effect</t>
        </is>
      </c>
      <c r="C6" s="17" t="inlineStr">
        <is>
          <t>No plausible revenue/retention/cost effect</t>
        </is>
      </c>
      <c r="D6" s="17" t="inlineStr">
        <is>
          <t>Marginal, hard-to-attribute effect</t>
        </is>
      </c>
      <c r="E6" s="17" t="inlineStr">
        <is>
          <t>Indirect or small effect on a business metric</t>
        </is>
      </c>
      <c r="F6" s="17" t="inlineStr">
        <is>
          <t>Measurable effect on a secondary metric</t>
        </is>
      </c>
      <c r="G6" s="17" t="inlineStr">
        <is>
          <t>Measurable effect on conversion, retention, or cost</t>
        </is>
      </c>
      <c r="H6" s="17" t="inlineStr">
        <is>
          <t>Clear contributor to a core business metric</t>
        </is>
      </c>
      <c r="I6" s="17" t="inlineStr">
        <is>
          <t>Clear driver of revenue, expansion, or churn reduction</t>
        </is>
      </c>
      <c r="J6" s="17" t="inlineStr">
        <is>
          <t>Materially shifts a top-line metric or defends key revenue</t>
        </is>
      </c>
      <c r="K6" s="17" t="inlineStr">
        <is>
          <t>Opens a new segment/market or defends a major revenue stream</t>
        </is>
      </c>
    </row>
    <row r="7" ht="43.5" customHeight="1">
      <c r="A7" s="16" t="inlineStr">
        <is>
          <t>Strategic Alignment</t>
        </is>
      </c>
      <c r="B7" s="17" t="inlineStr">
        <is>
          <t>Actively works against the product strategy</t>
        </is>
      </c>
      <c r="C7" s="17" t="inlineStr">
        <is>
          <t>Contradicts stated product strategy</t>
        </is>
      </c>
      <c r="D7" s="17" t="inlineStr">
        <is>
          <t>Orthogonal to strategy; slight tension</t>
        </is>
      </c>
      <c r="E7" s="17" t="inlineStr">
        <is>
          <t>Unrelated to strategy; opportunistic</t>
        </is>
      </c>
      <c r="F7" s="17" t="inlineStr">
        <is>
          <t>Tangentially related to a strategic theme</t>
        </is>
      </c>
      <c r="G7" s="17" t="inlineStr">
        <is>
          <t>Loosely supports a strategic theme</t>
        </is>
      </c>
      <c r="H7" s="17" t="inlineStr">
        <is>
          <t>Clearly supports a strategic theme</t>
        </is>
      </c>
      <c r="I7" s="17" t="inlineStr">
        <is>
          <t>Directly advances a current strategic pillar</t>
        </is>
      </c>
      <c r="J7" s="17" t="inlineStr">
        <is>
          <t>Key enabler of a strategic pillar</t>
        </is>
      </c>
      <c r="K7" s="17" t="inlineStr">
        <is>
          <t>Critical-path item for the product vision</t>
        </is>
      </c>
    </row>
    <row r="8" ht="43.5" customHeight="1">
      <c r="A8" s="16" t="inlineStr">
        <is>
          <t>Time Sensitivity</t>
        </is>
      </c>
      <c r="B8" s="17" t="inlineStr">
        <is>
          <t>No pressure; waiting costs nothing or value grows</t>
        </is>
      </c>
      <c r="C8" s="17" t="inlineStr">
        <is>
          <t>No time pressure; value stable indefinitely</t>
        </is>
      </c>
      <c r="D8" s="17" t="inlineStr">
        <is>
          <t>Value decays very slowly (multi-year horizon)</t>
        </is>
      </c>
      <c r="E8" s="17" t="inlineStr">
        <is>
          <t>Value decays slowly over years</t>
        </is>
      </c>
      <c r="F8" s="17" t="inlineStr">
        <is>
          <t>Advantage to shipping within ~18 months</t>
        </is>
      </c>
      <c r="G8" s="17" t="inlineStr">
        <is>
          <t>Meaningful advantage to shipping this year</t>
        </is>
      </c>
      <c r="H8" s="17" t="inlineStr">
        <is>
          <t>Competitive/market window within 3 quarters</t>
        </is>
      </c>
      <c r="I8" s="17" t="inlineStr">
        <is>
          <t>Competitive/market window within 2 quarters</t>
        </is>
      </c>
      <c r="J8" s="17" t="inlineStr">
        <is>
          <t>Window within 1 quarter</t>
        </is>
      </c>
      <c r="K8" s="17" t="inlineStr">
        <is>
          <t>Hard deadline (regulation, contract, event) or closing window</t>
        </is>
      </c>
    </row>
    <row r="9" ht="43.5" customHeight="1">
      <c r="A9" s="16" t="inlineStr">
        <is>
          <t>Confidence</t>
        </is>
      </c>
      <c r="B9" s="17" t="inlineStr">
        <is>
          <t>Guesswork; assumptions untested, no evidence sought</t>
        </is>
      </c>
      <c r="C9" s="17" t="inlineStr">
        <is>
          <t>Pure speculation; no supporting evidence</t>
        </is>
      </c>
      <c r="D9" s="17" t="inlineStr">
        <is>
          <t>A single anecdote</t>
        </is>
      </c>
      <c r="E9" s="17" t="inlineStr">
        <is>
          <t>Anecdotes or a single data point</t>
        </is>
      </c>
      <c r="F9" s="17" t="inlineStr">
        <is>
          <t>Multiple converging anecdotes; thin data</t>
        </is>
      </c>
      <c r="G9" s="17" t="inlineStr">
        <is>
          <t>Directional data: some interviews, analogous benchmarks</t>
        </is>
      </c>
      <c r="H9" s="17" t="inlineStr">
        <is>
          <t>Good data with known gaps</t>
        </is>
      </c>
      <c r="I9" s="17" t="inlineStr">
        <is>
          <t>Solid data: surveys, usage analytics, competitor evidence</t>
        </is>
      </c>
      <c r="J9" s="17" t="inlineStr">
        <is>
          <t>Strong multi-source data; small residual unknowns</t>
        </is>
      </c>
      <c r="K9" s="17" t="inlineStr">
        <is>
          <t>Validated: experiments, pilots, or committed customer demand</t>
        </is>
      </c>
    </row>
    <row r="10" ht="43.5" customHeight="1">
      <c r="A10" s="16" t="inlineStr">
        <is>
          <t>Effort</t>
        </is>
      </c>
      <c r="B10" s="17" t="inlineStr">
        <is>
          <t>Hours to a day; trivial change</t>
        </is>
      </c>
      <c r="C10" s="17" t="inlineStr">
        <is>
          <t>Days; single dev, no design or new infra</t>
        </is>
      </c>
      <c r="D10" s="17" t="inlineStr">
        <is>
          <t>About a week; single dev</t>
        </is>
      </c>
      <c r="E10" s="17" t="inlineStr">
        <is>
          <t>1-2 weeks; small change, minimal coordination</t>
        </is>
      </c>
      <c r="F10" s="17" t="inlineStr">
        <is>
          <t>2-3 weeks; light cross-discipline coordination</t>
        </is>
      </c>
      <c r="G10" s="17" t="inlineStr">
        <is>
          <t>3-6 weeks; multi-discipline, some unknowns</t>
        </is>
      </c>
      <c r="H10" s="17" t="inlineStr">
        <is>
          <t>6-10 weeks; significant unknowns</t>
        </is>
      </c>
      <c r="I10" s="17" t="inlineStr">
        <is>
          <t>1-2 quarters; significant architecture or integration work</t>
        </is>
      </c>
      <c r="J10" s="17" t="inlineStr">
        <is>
          <t>2-3 quarters; major cross-team program</t>
        </is>
      </c>
      <c r="K10" s="17" t="inlineStr">
        <is>
          <t>&gt;3 quarters; major platform work or new subsystem</t>
        </is>
      </c>
    </row>
    <row r="11" ht="43.5" customHeight="1">
      <c r="A11" s="16" t="inlineStr">
        <is>
          <t>Risk</t>
        </is>
      </c>
      <c r="B11" s="17" t="inlineStr">
        <is>
          <t>Fully understood; trivially reversible</t>
        </is>
      </c>
      <c r="C11" s="17" t="inlineStr">
        <is>
          <t>Well-understood; easily reversible</t>
        </is>
      </c>
      <c r="D11" s="17" t="inlineStr">
        <is>
          <t>Small unknowns; cheap to reverse</t>
        </is>
      </c>
      <c r="E11" s="17" t="inlineStr">
        <is>
          <t>Minor unknowns; reversible with modest cost</t>
        </is>
      </c>
      <c r="F11" s="17" t="inlineStr">
        <is>
          <t>Moderate unknowns or a soft third-party dependency</t>
        </is>
      </c>
      <c r="G11" s="17" t="inlineStr">
        <is>
          <t>Some technical/market unknowns or third-party dependency</t>
        </is>
      </c>
      <c r="H11" s="17" t="inlineStr">
        <is>
          <t>Multiple unknowns; reversal is painful</t>
        </is>
      </c>
      <c r="I11" s="17" t="inlineStr">
        <is>
          <t>Hard-to-reverse decision or fragile dependencies</t>
        </is>
      </c>
      <c r="J11" s="17" t="inlineStr">
        <is>
          <t>Effectively one-way without major cost</t>
        </is>
      </c>
      <c r="K11" s="17" t="inlineStr">
        <is>
          <t>One-way door: public API, data model, pricing, or compliance exposure</t>
        </is>
      </c>
    </row>
    <row r="12" ht="39" customHeight="1">
      <c r="A12" s="18" t="inlineStr">
        <is>
          <t>Severity (Defect rows only)</t>
        </is>
      </c>
      <c r="B12" s="2" t="inlineStr">
        <is>
          <t>Cosmetic; no functional impact, no workaround needed</t>
        </is>
      </c>
      <c r="C12" s="2" t="inlineStr">
        <is>
          <t>Minor; workaround exists, low friction (industry Sev4)</t>
        </is>
      </c>
      <c r="D12" s="2" t="inlineStr">
        <is>
          <t>Moderate; feature degraded or blocked with a workaround (industry Sev3)</t>
        </is>
      </c>
      <c r="E12" s="2" t="inlineStr">
        <is>
          <t>Major; feature unusable, no reasonable workaround, no data loss (industry Sev2)</t>
        </is>
      </c>
      <c r="F12" s="2" t="inlineStr">
        <is>
          <t>Critical; data loss, security exposure, or outage blocking core workflows (industry Sev1)</t>
        </is>
      </c>
      <c r="G12" s="2" t="inlineStr">
        <is>
          <t>Severity stays on a 1-5 scale (industry Sev4...Sev1 alignment); columns 6-10 do not apply.</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X52"/>
  <sheetViews>
    <sheetView tabSelected="1" zoomScaleNormal="100" workbookViewId="0">
      <pane xSplit="2" ySplit="3" topLeftCell="C10" activePane="bottomRight" state="frozen"/>
      <selection pane="topRight" activeCell="C1" sqref="C1"/>
      <selection pane="bottomLeft" activeCell="A10" sqref="A10"/>
      <selection pane="bottomRight" activeCell="F11" sqref="F11"/>
    </sheetView>
  </sheetViews>
  <sheetFormatPr baseColWidth="8" defaultColWidth="8.6328125" defaultRowHeight="14.5"/>
  <cols>
    <col width="12" customWidth="1" min="1" max="1"/>
    <col width="44.6328125" customWidth="1" style="19" min="2" max="2"/>
    <col width="24" customWidth="1" min="3" max="3"/>
    <col width="14" customWidth="1" min="4" max="4"/>
    <col width="16" customWidth="1" min="5" max="5"/>
    <col width="12" customWidth="1" min="6" max="6"/>
    <col width="10" customWidth="1" min="7" max="8"/>
    <col width="12" customWidth="1" min="9" max="11"/>
    <col width="11" customWidth="1" min="12" max="12"/>
    <col width="9" customWidth="1" min="13" max="14"/>
    <col width="36" customWidth="1" min="15" max="16"/>
    <col width="12" customWidth="1" min="17" max="18"/>
    <col width="10" customWidth="1" min="19" max="19"/>
    <col width="12" customWidth="1" min="20" max="20"/>
    <col width="8" customWidth="1" min="21" max="21"/>
    <col width="14" customWidth="1" min="22" max="24"/>
  </cols>
  <sheetData>
    <row r="1" ht="15" customHeight="1">
      <c r="A1" s="4" t="inlineStr">
        <is>
          <t>FEATURE VALUE SCORING</t>
        </is>
      </c>
    </row>
    <row r="2" ht="14.25" customHeight="1">
      <c r="A2" s="14" t="inlineStr">
        <is>
          <t>Blue columns = inputs (human or research agent). Grey columns = calculated; do not edit. Anchors: see Rubric sheet. Item Type (V) selects the scoring path: Feature uses the weighted-value formula (Q-U); Defect uses the severity fast-track formula (see Config sheet), leaving Weighted Value (Q) blank.</t>
        </is>
      </c>
    </row>
    <row r="3" ht="39.75" customHeight="1">
      <c r="A3" s="20" t="inlineStr">
        <is>
          <t>Feature ID</t>
        </is>
      </c>
      <c r="B3" s="20" t="inlineStr">
        <is>
          <t>Feature Name</t>
        </is>
      </c>
      <c r="C3" s="20" t="inlineStr">
        <is>
          <t>Brief Reference</t>
        </is>
      </c>
      <c r="D3" s="20" t="inlineStr">
        <is>
          <t>Status</t>
        </is>
      </c>
      <c r="E3" s="20" t="inlineStr">
        <is>
          <t>Scored By</t>
        </is>
      </c>
      <c r="F3" s="20" t="inlineStr">
        <is>
          <t>Date Scored</t>
        </is>
      </c>
      <c r="G3" s="20" t="inlineStr">
        <is>
          <t>Reach (1-10)</t>
        </is>
      </c>
      <c r="H3" s="20" t="inlineStr">
        <is>
          <t>User Value (1-10)</t>
        </is>
      </c>
      <c r="I3" s="20" t="inlineStr">
        <is>
          <t>Business Value (1-10)</t>
        </is>
      </c>
      <c r="J3" s="20" t="inlineStr">
        <is>
          <t>Strategic Alignment (1-10)</t>
        </is>
      </c>
      <c r="K3" s="20" t="inlineStr">
        <is>
          <t>Time Sensitivity (1-10)</t>
        </is>
      </c>
      <c r="L3" s="20" t="inlineStr">
        <is>
          <t>Confidence (1-10)</t>
        </is>
      </c>
      <c r="M3" s="20" t="inlineStr">
        <is>
          <t>Effort (1-10)</t>
        </is>
      </c>
      <c r="N3" s="20" t="inlineStr">
        <is>
          <t>Risk (1-10)</t>
        </is>
      </c>
      <c r="O3" s="20" t="inlineStr">
        <is>
          <t>Evidence &amp; Sources</t>
        </is>
      </c>
      <c r="P3" s="20" t="inlineStr">
        <is>
          <t>Rationale Notes</t>
        </is>
      </c>
      <c r="Q3" s="20" t="inlineStr">
        <is>
          <t>Weighted Value</t>
        </is>
      </c>
      <c r="R3" s="20" t="inlineStr">
        <is>
          <t>Confidence Mult</t>
        </is>
      </c>
      <c r="S3" s="20" t="inlineStr">
        <is>
          <t>Risk Factor</t>
        </is>
      </c>
      <c r="T3" s="20" t="inlineStr">
        <is>
          <t>Priority Score (0-100)</t>
        </is>
      </c>
      <c r="U3" s="20" t="inlineStr">
        <is>
          <t>Rank</t>
        </is>
      </c>
      <c r="V3" s="20" t="inlineStr">
        <is>
          <t>Item Type</t>
        </is>
      </c>
      <c r="W3" s="20" t="inlineStr">
        <is>
          <t>Defect Source</t>
        </is>
      </c>
      <c r="X3" s="20" t="inlineStr">
        <is>
          <t>Severity (1-5)</t>
        </is>
      </c>
    </row>
    <row r="4" ht="409.5" customHeight="1">
      <c r="A4" s="21" t="inlineStr">
        <is>
          <t>F-001</t>
        </is>
      </c>
      <c r="B4" s="22" t="inlineStr">
        <is>
          <t>Adhere to a Design System</t>
        </is>
      </c>
      <c r="C4" s="21" t="inlineStr">
        <is>
          <t>briefs/F-001-adhere-to-design-system.md</t>
        </is>
      </c>
      <c r="D4" s="21" t="inlineStr">
        <is>
          <t>Prioritized</t>
        </is>
      </c>
      <c r="E4" s="21" t="inlineStr">
        <is>
          <t>Market Research Agent</t>
        </is>
      </c>
      <c r="F4" s="23" t="n">
        <v>46210</v>
      </c>
      <c r="G4" s="24" t="n">
        <v>10</v>
      </c>
      <c r="H4" s="24" t="n">
        <v>4</v>
      </c>
      <c r="I4" s="24" t="n">
        <v>6</v>
      </c>
      <c r="J4" s="24" t="n">
        <v>10</v>
      </c>
      <c r="K4" s="24" t="n">
        <v>6</v>
      </c>
      <c r="L4" s="24" t="n">
        <v>4</v>
      </c>
      <c r="M4" s="24" t="n">
        <v>2</v>
      </c>
      <c r="N4" s="24" t="n">
        <v>2</v>
      </c>
      <c r="O4" s="25" t="inlineStr">
        <is>
          <t>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is>
      </c>
      <c r="P4" s="26" t="inlineStr">
        <is>
          <t>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is>
      </c>
      <c r="Q4" s="27">
        <f>IF(V4="Defect","",IF(COUNT(G4:K4)&lt;5,"",ROUND(G4*Config!$B$4+H4*Config!$B$5+I4*Config!$B$6+J4*Config!$B$7+K4*Config!$B$8,2)))</f>
        <v/>
      </c>
      <c r="R4" s="27">
        <f>IF(L4="","",VLOOKUP(L4,Config!$A$12:$B$21,2,0))</f>
        <v/>
      </c>
      <c r="S4" s="27">
        <f>IF(N4="","",VLOOKUP(N4,Config!$D$12:$E$21,2,0))</f>
        <v/>
      </c>
      <c r="T4" s="28">
        <f>IF(V4="Defect",IF(OR(X4="",G4="",R4=""),"",ROUND(MIN(100,VLOOKUP(X4,Config!$G$12:$H$16,2,0)*VLOOKUP(G4,Config!$I$12:$J$21,2,0)*R4),1)),IF(OR(Q4="",R4="",S4="",M4=""),"",ROUND(MIN(100,Q4*R4*S4/M4*20),1)))</f>
        <v/>
      </c>
      <c r="U4" s="29">
        <f>IF(T4="","",RANK(T4,$T$4:$T$52))</f>
        <v/>
      </c>
      <c r="V4" s="21" t="inlineStr">
        <is>
          <t>Feature</t>
        </is>
      </c>
    </row>
    <row r="5" ht="409.5" customHeight="1">
      <c r="A5" s="21" t="inlineStr">
        <is>
          <t>F-002</t>
        </is>
      </c>
      <c r="B5" s="22" t="inlineStr">
        <is>
          <t>Set a customer specific system prompt</t>
        </is>
      </c>
      <c r="C5" s="21" t="inlineStr">
        <is>
          <t>briefs/F-002-customer-system-prompt.md</t>
        </is>
      </c>
      <c r="D5" s="21" t="inlineStr">
        <is>
          <t>Prioritized</t>
        </is>
      </c>
      <c r="E5" s="21" t="inlineStr">
        <is>
          <t>Market Research Agent</t>
        </is>
      </c>
      <c r="F5" s="21" t="inlineStr">
        <is>
          <t>2026-07-07</t>
        </is>
      </c>
      <c r="G5" s="24" t="n">
        <v>6</v>
      </c>
      <c r="H5" s="24" t="n">
        <v>6</v>
      </c>
      <c r="I5" s="24" t="n">
        <v>4</v>
      </c>
      <c r="J5" s="24" t="n">
        <v>8</v>
      </c>
      <c r="K5" s="24" t="n">
        <v>6</v>
      </c>
      <c r="L5" s="24" t="n">
        <v>4</v>
      </c>
      <c r="M5" s="24" t="n">
        <v>4</v>
      </c>
      <c r="N5" s="24" t="n">
        <v>4</v>
      </c>
      <c r="O5" s="26" t="inlineStr">
        <is>
          <t>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is>
      </c>
      <c r="P5" s="26" t="inlineStr">
        <is>
          <t>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  ||  [Human ruling 2026-07-13, resolves strategic-alignment flag] BUNDLED with F-003: rank as one sequenced initiative (F-002 first, then F-003), not two independent items. Take/defer the bundle as a unit at the bundle's position.</t>
        </is>
      </c>
      <c r="Q5" s="27">
        <f>IF(V5="Defect","",IF(COUNT(G5:K5)&lt;5,"",ROUND(G5*Config!$B$4+H5*Config!$B$5+I5*Config!$B$6+J5*Config!$B$7+K5*Config!$B$8,2)))</f>
        <v/>
      </c>
      <c r="R5" s="27">
        <f>IF(L5="","",VLOOKUP(L5,Config!$A$12:$B$21,2,0))</f>
        <v/>
      </c>
      <c r="S5" s="27">
        <f>IF(N5="","",VLOOKUP(N5,Config!$D$12:$E$21,2,0))</f>
        <v/>
      </c>
      <c r="T5" s="28">
        <f>IF(V5="Defect",IF(OR(X5="",G5="",R5=""),"",ROUND(MIN(100,VLOOKUP(X5,Config!$G$12:$H$16,2,0)*VLOOKUP(G5,Config!$I$12:$J$21,2,0)*R5),1)),IF(OR(Q5="",R5="",S5="",M5=""),"",ROUND(MIN(100,Q5*R5*S5/M5*20),1)))</f>
        <v/>
      </c>
      <c r="U5" s="29">
        <f>IF(T5="","",RANK(T5,$T$4:$T$52))</f>
        <v/>
      </c>
      <c r="V5" s="21" t="inlineStr">
        <is>
          <t>Feature</t>
        </is>
      </c>
    </row>
    <row r="6" ht="307.5" customHeight="1">
      <c r="A6" s="21" t="inlineStr">
        <is>
          <t>F-003</t>
        </is>
      </c>
      <c r="B6" s="22" t="inlineStr">
        <is>
          <t>Set a workspace level system prompt</t>
        </is>
      </c>
      <c r="C6" s="21" t="inlineStr">
        <is>
          <t>briefs/F-003-workspace-system-prompt.md</t>
        </is>
      </c>
      <c r="D6" s="21" t="inlineStr">
        <is>
          <t>Prioritized</t>
        </is>
      </c>
      <c r="E6" s="21" t="inlineStr">
        <is>
          <t>Market Research Agent</t>
        </is>
      </c>
      <c r="F6" s="21" t="inlineStr">
        <is>
          <t>2026-07-07</t>
        </is>
      </c>
      <c r="G6" s="24" t="n">
        <v>6</v>
      </c>
      <c r="H6" s="24" t="n">
        <v>6</v>
      </c>
      <c r="I6" s="24" t="n">
        <v>4</v>
      </c>
      <c r="J6" s="24" t="n">
        <v>10</v>
      </c>
      <c r="K6" s="24" t="n">
        <v>6</v>
      </c>
      <c r="L6" s="24" t="n">
        <v>4</v>
      </c>
      <c r="M6" s="24" t="n">
        <v>4</v>
      </c>
      <c r="N6" s="24" t="n">
        <v>2</v>
      </c>
      <c r="O6" s="26" t="inlineStr">
        <is>
          <t>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is>
      </c>
      <c r="P6" s="26" t="inlineStr">
        <is>
          <t>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  ||  [Human ruling 2026-07-13, resolves strategic-alignment flag] BUNDLED with F-002: rank as one sequenced initiative (F-002 baseline model first, then F-003), not two independent items. Take/defer the bundle as a unit at the bundle's position.</t>
        </is>
      </c>
      <c r="Q6" s="27">
        <f>IF(V6="Defect","",IF(COUNT(G6:K6)&lt;5,"",ROUND(G6*Config!$B$4+H6*Config!$B$5+I6*Config!$B$6+J6*Config!$B$7+K6*Config!$B$8,2)))</f>
        <v/>
      </c>
      <c r="R6" s="27">
        <f>IF(L6="","",VLOOKUP(L6,Config!$A$12:$B$21,2,0))</f>
        <v/>
      </c>
      <c r="S6" s="27">
        <f>IF(N6="","",VLOOKUP(N6,Config!$D$12:$E$21,2,0))</f>
        <v/>
      </c>
      <c r="T6" s="28">
        <f>IF(V6="Defect",IF(OR(X6="",G6="",R6=""),"",ROUND(MIN(100,VLOOKUP(X6,Config!$G$12:$H$16,2,0)*VLOOKUP(G6,Config!$I$12:$J$21,2,0)*R6),1)),IF(OR(Q6="",R6="",S6="",M6=""),"",ROUND(MIN(100,Q6*R6*S6/M6*20),1)))</f>
        <v/>
      </c>
      <c r="U6" s="29">
        <f>IF(T6="","",RANK(T6,$T$4:$T$52))</f>
        <v/>
      </c>
      <c r="V6" s="21" t="inlineStr">
        <is>
          <t>Feature</t>
        </is>
      </c>
    </row>
    <row r="7" ht="349.5" customHeight="1">
      <c r="A7" s="21" t="inlineStr">
        <is>
          <t>F-004</t>
        </is>
      </c>
      <c r="B7" s="22" t="inlineStr">
        <is>
          <t>Implement a proper production ready eventbus to replace the inproc bus currently in use</t>
        </is>
      </c>
      <c r="C7" s="21" t="inlineStr">
        <is>
          <t>briefs/F-004-production-event-bus.md</t>
        </is>
      </c>
      <c r="D7" s="21" t="inlineStr">
        <is>
          <t>Implemented</t>
        </is>
      </c>
      <c r="E7" s="21" t="inlineStr">
        <is>
          <t>Market Research Agent</t>
        </is>
      </c>
      <c r="F7" s="21" t="inlineStr">
        <is>
          <t>2026-07-07</t>
        </is>
      </c>
      <c r="G7" s="24" t="n">
        <v>8</v>
      </c>
      <c r="H7" s="24" t="n">
        <v>8</v>
      </c>
      <c r="I7" s="24" t="n">
        <v>6</v>
      </c>
      <c r="J7" s="24" t="n">
        <v>10</v>
      </c>
      <c r="K7" s="24" t="n">
        <v>6</v>
      </c>
      <c r="L7" s="24" t="n">
        <v>4</v>
      </c>
      <c r="M7" s="24" t="n">
        <v>8</v>
      </c>
      <c r="N7" s="24" t="n">
        <v>6</v>
      </c>
      <c r="O7" s="26" t="inlineStr">
        <is>
          <t>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is>
      </c>
      <c r="P7" s="26" t="inlineStr">
        <is>
          <t>[Human]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  ||  [Human ruling 2026-07-13, resolves strategic-alignment flag] TOP PRIORITY override: rank-7 formula placement is overridden due to architectural significance — all features with strategic importance must build on this eventbus, so it precedes them in implementation order regardless of its effort-divided score. Scores left honest/unchanged; override lives here and in the run report. [implement-spec 2026-07-19] implemented per specs/F-004-production-event-bus.md (rev 11); branch feat/f-004-event-bus-delivery; full suite green (bff 1229, e2e relay 11, tsc clean). Pipeline: architect+migration+qa+impl; qa/unit/e2e verification; security PASS-WITH-NOTES + code-review BLOCK cleared; perf FAIL fixed (eligibility query O(backlog)); refactor+docs. Follow-up: D-006 peer auth (GH #16); deploy notes F3 (/ready bind) / F4 (SSRF allowlist).</t>
        </is>
      </c>
      <c r="Q7" s="27">
        <f>IF(V7="Defect","",IF(COUNT(G7:K7)&lt;5,"",ROUND(G7*Config!$B$4+H7*Config!$B$5+I7*Config!$B$6+J7*Config!$B$7+K7*Config!$B$8,2)))</f>
        <v/>
      </c>
      <c r="R7" s="27">
        <f>IF(L7="","",VLOOKUP(L7,Config!$A$12:$B$21,2,0))</f>
        <v/>
      </c>
      <c r="S7" s="27">
        <f>IF(N7="","",VLOOKUP(N7,Config!$D$12:$E$21,2,0))</f>
        <v/>
      </c>
      <c r="T7" s="28">
        <f>IF(V7="Defect",IF(OR(X7="",G7="",R7=""),"",ROUND(MIN(100,VLOOKUP(X7,Config!$G$12:$H$16,2,0)*VLOOKUP(G7,Config!$I$12:$J$21,2,0)*R7),1)),IF(OR(Q7="",R7="",S7="",M7=""),"",ROUND(MIN(100,Q7*R7*S7/M7*20),1)))</f>
        <v/>
      </c>
      <c r="U7" s="29">
        <f>IF(T7="","",RANK(T7,$T$4:$T$52))</f>
        <v/>
      </c>
      <c r="V7" s="21" t="inlineStr">
        <is>
          <t>Feature</t>
        </is>
      </c>
    </row>
    <row r="8" ht="98.25" customHeight="1">
      <c r="A8" s="21" t="inlineStr">
        <is>
          <t>D-001</t>
        </is>
      </c>
      <c r="B8" s="30" t="inlineStr">
        <is>
          <t>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is>
      </c>
      <c r="C8" s="21" t="inlineStr">
        <is>
          <t>https://github.com/dispatch-derek/admin-console/issues/5</t>
        </is>
      </c>
      <c r="D8" s="21" t="inlineStr">
        <is>
          <t>Prioritized</t>
        </is>
      </c>
      <c r="E8" s="21" t="inlineStr">
        <is>
          <t>Hybrid</t>
        </is>
      </c>
      <c r="F8" s="31" t="n">
        <v>46214</v>
      </c>
      <c r="G8" s="24" t="n">
        <v>8</v>
      </c>
      <c r="H8" s="24" t="n">
        <v>3</v>
      </c>
      <c r="I8" s="24" t="n">
        <v>2</v>
      </c>
      <c r="J8" s="24" t="n">
        <v>4</v>
      </c>
      <c r="K8" s="24" t="n">
        <v>6</v>
      </c>
      <c r="L8" s="24" t="n">
        <v>8</v>
      </c>
      <c r="M8" s="24" t="n">
        <v>2</v>
      </c>
      <c r="N8" s="24" t="n">
        <v>2</v>
      </c>
      <c r="O8" s="26" t="inlineStr">
        <is>
          <t>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is>
      </c>
      <c r="P8" s="26" t="inlineStr">
        <is>
          <t>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is>
      </c>
      <c r="Q8" s="27">
        <f>IF(V8="Defect","",IF(COUNT(G8:K8)&lt;5,"",ROUND(G8*Config!$B$4+H8*Config!$B$5+I8*Config!$B$6+J8*Config!$B$7+K8*Config!$B$8,2)))</f>
        <v/>
      </c>
      <c r="R8" s="27">
        <f>IF(L8="","",VLOOKUP(L8,Config!$A$12:$B$21,2,0))</f>
        <v/>
      </c>
      <c r="S8" s="27">
        <f>IF(N8="","",VLOOKUP(N8,Config!$D$12:$E$21,2,0))</f>
        <v/>
      </c>
      <c r="T8" s="28">
        <f>IF(V8="Defect",IF(OR(X8="",G8="",R8=""),"",ROUND(MIN(100,VLOOKUP(X8,Config!$G$12:$H$16,2,0)*VLOOKUP(G8,Config!$I$12:$J$21,2,0)*R8),1)),IF(OR(Q8="",R8="",S8="",M8=""),"",ROUND(MIN(100,Q8*R8*S8/M8*20),1)))</f>
        <v/>
      </c>
      <c r="U8" s="29">
        <f>IF(T8="","",RANK(T8,$T$4:$T$52))</f>
        <v/>
      </c>
      <c r="V8" s="32" t="inlineStr">
        <is>
          <t>Defect</t>
        </is>
      </c>
      <c r="W8" t="inlineStr">
        <is>
          <t>Internal</t>
        </is>
      </c>
      <c r="X8" t="n">
        <v>2</v>
      </c>
    </row>
    <row r="9" ht="98.25" customHeight="1">
      <c r="A9" s="33" t="inlineStr">
        <is>
          <t>F-005</t>
        </is>
      </c>
      <c r="B9" s="30" t="inlineStr">
        <is>
          <t>Per-Customer Feature Toggle Console</t>
        </is>
      </c>
      <c r="C9" s="21" t="inlineStr">
        <is>
          <t>briefs/F-005-per-customer-feature-toggle-console.md</t>
        </is>
      </c>
      <c r="D9" s="21" t="inlineStr">
        <is>
          <t>Implemented</t>
        </is>
      </c>
      <c r="E9" s="21" t="inlineStr">
        <is>
          <t>Market Research Agent</t>
        </is>
      </c>
      <c r="F9" s="31" t="n">
        <v>46214</v>
      </c>
      <c r="G9" s="24" t="n">
        <v>8</v>
      </c>
      <c r="H9" s="24" t="n">
        <v>8</v>
      </c>
      <c r="I9" s="24" t="n">
        <v>10</v>
      </c>
      <c r="J9" s="24" t="n">
        <v>5</v>
      </c>
      <c r="K9" s="24" t="n">
        <v>10</v>
      </c>
      <c r="L9" s="24" t="n">
        <v>4</v>
      </c>
      <c r="M9" s="24" t="n">
        <v>5</v>
      </c>
      <c r="N9" s="24" t="n">
        <v>1</v>
      </c>
      <c r="O9" s="26" t="inlineStr">
        <is>
          <t>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is>
      </c>
      <c r="P9" s="26" t="inlineStr">
        <is>
          <t>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is>
      </c>
      <c r="Q9" s="27">
        <f>IF(V9="Defect","",IF(COUNT(G9:K9)&lt;5,"",ROUND(G9*Config!$B$4+H9*Config!$B$5+I9*Config!$B$6+J9*Config!$B$7+K9*Config!$B$8,2)))</f>
        <v/>
      </c>
      <c r="R9" s="27">
        <f>IF(L9="","",VLOOKUP(L9,Config!$A$12:$B$21,2,0))</f>
        <v/>
      </c>
      <c r="S9" s="27">
        <f>IF(N9="","",VLOOKUP(N9,Config!$D$12:$E$21,2,0))</f>
        <v/>
      </c>
      <c r="T9" s="28">
        <f>IF(V9="Defect",IF(OR(X9="",G9="",R9=""),"",ROUND(MIN(100,VLOOKUP(X9,Config!$G$12:$H$16,2,0)*VLOOKUP(G9,Config!$I$12:$J$21,2,0)*R9),1)),IF(OR(Q9="",R9="",S9="",M9=""),"",ROUND(MIN(100,Q9*R9*S9/M9*20),1)))</f>
        <v/>
      </c>
      <c r="U9" s="29">
        <f>IF(T9="","",RANK(T9,$T$4:$T$52))</f>
        <v/>
      </c>
      <c r="V9" s="32" t="inlineStr">
        <is>
          <t>Feature</t>
        </is>
      </c>
    </row>
    <row r="10" ht="409.5" customHeight="1">
      <c r="A10" s="21" t="inlineStr">
        <is>
          <t>D-002</t>
        </is>
      </c>
      <c r="B10" s="22" t="inlineStr">
        <is>
          <t>Light-theme secondary text (--theme-text-secondary #7a7d7e) fails WCAG 2.1 AA contrast (4.15:1 &lt; 4.5:1) on all consumers incl. F-005 provenance/label text; token is byte-pinned by F-001 gates so the fix is an F-001-scope design-system revision</t>
        </is>
      </c>
      <c r="C10" s="34" t="inlineStr">
        <is>
          <t>https://github.com/dispatch-derek/admin-console/issues/7</t>
        </is>
      </c>
      <c r="D10" s="21" t="inlineStr">
        <is>
          <t>Prioritized</t>
        </is>
      </c>
      <c r="E10" s="21" t="inlineStr">
        <is>
          <t>Market Research Agent</t>
        </is>
      </c>
      <c r="F10" s="21" t="inlineStr">
        <is>
          <t>2026-07-13</t>
        </is>
      </c>
      <c r="G10" s="24" t="n">
        <v>5</v>
      </c>
      <c r="H10" s="24" t="n"/>
      <c r="I10" s="24" t="n"/>
      <c r="J10" s="24" t="n">
        <v>1</v>
      </c>
      <c r="K10" s="24" t="n">
        <v>5</v>
      </c>
      <c r="L10" s="24" t="n">
        <v>7</v>
      </c>
      <c r="M10" s="24" t="n">
        <v>2</v>
      </c>
      <c r="N10" s="24" t="n">
        <v>1</v>
      </c>
      <c r="O10" s="26" t="inlineStr">
        <is>
          <t>GH issue dispatch-derek/admin-console#7 (fetched via gh 2026-07-13). Token: web/src/design-system/tokens/colors.css:92 (--theme-text-secondary: #7a7d7e under [data-theme=light]; light bg-primary/bg-secondary #ffffff at :84-85); same value in light-source.css:21 and vendor/design-system/project/tokens/colors.css:92. Computed WCAG 2.1 contrast (relative luminance, sRGB linearization, (L1+0.05)/(L2+0.05)): 4.148:1 on #ffffff (fails 4.5:1 AA; matches issue's 4.15:1), 4.00:1 on #f9fbfd, 3.69:1 on #edf2fa, 3.45:1 on #eaeaea. Consumers (grep 2026-07-13): 27 declarations in web/src/index.css incl. F-005 surfaces .feature-customer-label:672, .feature-counts:680, .feature-category-tag/.feature-row-meta:722-726, .feature-empty-help:747; plus Badge.module.css:35, Table.module.css:25, Field.module.css:62, Toggle.module.css:90, PageHeader.module.css:31. Byte-pin verified: adopted-tokens.test.ts:27 (byte-for-byte vs vendored reference, REQ-F001-017), tests/gates/vendor-immutability.test.ts:38 (pinned hashes), dual-theme-harness.test.ts:46 (pins light value, REQ-F001-052). OS-light exposure: web/src/bridge/prefers-color-scheme.css:10-20 auto-applies #7a7d7e for OS-light users with no data-theme.</t>
        </is>
      </c>
      <c r="P10" s="26" t="inlineStr">
        <is>
          <t>Reach 5 (15-25% regular use): the token styles secondary text on virtually every screen (27 index.css consumers + 5 shared DS components, incl. F-005's core provenance/label text), so any light-theme operator encounters it constantly in daily workflows — but only light-theme users are affected. Dark is the :root default; light requires OS light preference (auto via bridge) or explicit data-theme=light, the theme split among staff operators is unmeasured (no analytics), and operator populations commonly skew dark. Honest mid-band estimate 15-25%, not inflated to 6+ without theme-adoption data; the impact is also graduated (borderline 4.15:1, most harmful to low-vision users) rather than a functional break. Confidence 7 (good data, known gaps): the defect is deterministically reproduced — independently recomputed contrast ratios (4.148:1 on white, worse on other light surfaces) and verified the byte-pin constraint in the gate test sources, and the issue documents an empirically reverted fix attempt — but the reach side rests on zero measurement of light-theme share among operators, which keeps it below 8.</t>
        </is>
      </c>
      <c r="Q10" s="27">
        <f>IF(V10="Defect","",IF(COUNT(G10:K10)&lt;5,"",ROUND(G10*Config!$B$4+H10*Config!$B$5+I10*Config!$B$6+J10*Config!$B$7+K10*Config!$B$8,2)))</f>
        <v/>
      </c>
      <c r="R10" s="27">
        <f>IF(L10="","",VLOOKUP(L10,Config!$A$12:$B$21,2,0))</f>
        <v/>
      </c>
      <c r="S10" s="27">
        <f>IF(N10="","",VLOOKUP(N10,Config!$D$12:$E$21,2,0))</f>
        <v/>
      </c>
      <c r="T10" s="28">
        <f>IF(V10="Defect",IF(OR(X10="",G10="",R10=""),"",ROUND(MIN(100,VLOOKUP(X10,Config!$G$12:$H$16,2,0)*VLOOKUP(G10,Config!$I$12:$J$21,2,0)*R10),1)),IF(OR(Q10="",R10="",S10="",M10=""),"",ROUND(MIN(100,Q10*R10*S10/M10*20),1)))</f>
        <v/>
      </c>
      <c r="U10" s="29">
        <f>IF(T10="","",RANK(T10,$T$4:$T$52))</f>
        <v/>
      </c>
      <c r="V10" s="32" t="inlineStr">
        <is>
          <t>Defect</t>
        </is>
      </c>
      <c r="W10" t="inlineStr">
        <is>
          <t>Internal</t>
        </is>
      </c>
      <c r="X10" t="n">
        <v>2</v>
      </c>
    </row>
    <row r="11" ht="56.25" customHeight="1">
      <c r="A11" s="21" t="inlineStr">
        <is>
          <t>F-006</t>
        </is>
      </c>
      <c r="B11" s="22" t="inlineStr">
        <is>
          <t>Local-first per-workspace LLM observability (usage, performance, resource load)</t>
        </is>
      </c>
      <c r="C11" s="21" t="inlineStr">
        <is>
          <t>briefs/F-006-local-first-workspace-llm-observability.md</t>
        </is>
      </c>
      <c r="D11" s="21" t="inlineStr">
        <is>
          <t>Brief Drafted</t>
        </is>
      </c>
      <c r="E11" s="21" t="n"/>
      <c r="F11" s="21" t="n"/>
      <c r="G11" s="24" t="n"/>
      <c r="H11" s="24" t="n"/>
      <c r="I11" s="24" t="n"/>
      <c r="J11" s="24" t="n">
        <v>5</v>
      </c>
      <c r="K11" s="24" t="n"/>
      <c r="L11" s="24" t="n"/>
      <c r="M11" s="24" t="n"/>
      <c r="N11" s="24" t="n"/>
      <c r="O11" s="26" t="n"/>
      <c r="P11" s="26" t="n"/>
      <c r="Q11" s="27">
        <f>IF(V11="Defect","",IF(COUNT(G11:K11)&lt;5,"",ROUND(G11*Config!$B$4+H11*Config!$B$5+I11*Config!$B$6+J11*Config!$B$7+K11*Config!$B$8,2)))</f>
        <v/>
      </c>
      <c r="R11" s="27">
        <f>IF(L11="","",VLOOKUP(L11,Config!$A$12:$B$21,2,0))</f>
        <v/>
      </c>
      <c r="S11" s="27">
        <f>IF(N11="","",VLOOKUP(N11,Config!$D$12:$E$21,2,0))</f>
        <v/>
      </c>
      <c r="T11" s="28">
        <f>IF(V11="Defect",IF(OR(X11="",G11="",R11=""),"",ROUND(MIN(100,VLOOKUP(X11,Config!$G$12:$H$16,2,0)*VLOOKUP(G11,Config!$I$12:$J$21,2,0)*R11),1)),IF(OR(Q11="",R11="",S11="",M11=""),"",ROUND(MIN(100,Q11*R11*S11/M11*20),1)))</f>
        <v/>
      </c>
      <c r="U11" s="29">
        <f>IF(T11="","",RANK(T11,$T$4:$T$52))</f>
        <v/>
      </c>
      <c r="V11" s="32" t="inlineStr">
        <is>
          <t>Feature</t>
        </is>
      </c>
    </row>
    <row r="12" ht="95.25" customHeight="1">
      <c r="A12" s="21" t="inlineStr">
        <is>
          <t>D-003</t>
        </is>
      </c>
      <c r="B12" s="22" t="inlineStr">
        <is>
          <t>Workspace chat history page is leaking json of the chat history onto the page vs laying out the data in a tabular format for human viewing.</t>
        </is>
      </c>
      <c r="C12" s="34" t="inlineStr">
        <is>
          <t>https://github.com/dispatch-derek/admin-console/issues/9</t>
        </is>
      </c>
      <c r="D12" s="21" t="inlineStr">
        <is>
          <t>Prioritized</t>
        </is>
      </c>
      <c r="E12" s="21" t="inlineStr">
        <is>
          <t>Market Research Agent</t>
        </is>
      </c>
      <c r="F12" s="21" t="inlineStr">
        <is>
          <t>2026-07-15</t>
        </is>
      </c>
      <c r="G12" s="24" t="n">
        <v>6</v>
      </c>
      <c r="H12" s="24" t="n"/>
      <c r="I12" s="24" t="n"/>
      <c r="J12" s="24" t="n">
        <v>5</v>
      </c>
      <c r="K12" s="24" t="n"/>
      <c r="L12" s="24" t="n">
        <v>7</v>
      </c>
      <c r="M12" s="24" t="n"/>
      <c r="N12" s="24" t="n"/>
      <c r="O12" s="26" t="inlineStr">
        <is>
          <t>GH issue dispatch-derek/admin-console#9 (fetched via gh 2026-07-15): reporter states the Workspace Chats screen renders raw JSON of chat history instead of a tabular layout and 'fails in the same way no matter which workspace you choose' — includes a full-page screenshot (committed live reproduction). Code inspection confirms mechanism deterministically: web/src/features/users/ChatOversight.tsx:75-81 renders every record as &lt;li&gt;&lt;pre&gt;{JSON.stringify(chat, null, 2)}&lt;/pre&gt;&lt;/li&gt; with no field mapping — the chats array is typed unknown[] (:17) and dumped verbatim. Rendering is workspace-independent (the Select filter at :62-73 only changes which records load, not how they render), matching the reporter's 'every workspace' claim. Chat oversight is a primary console surface (REQ-051, §6.6), listed in the main sidebar as 'Workspace Chats'.</t>
        </is>
      </c>
      <c r="P12" s="26" t="inlineStr">
        <is>
          <t>Reach 6 (15-40% regular use): a primary listed nav surface that fails completely (raw JSON, not degraded) for 100% of operators who open it, on every workspace — but chat oversight is one of several staff functions and not every operator uses it daily, and there is no analytics on the oversight-user share, so held at 6 rather than a daily-workflow 8+. Confidence 7 (good data, known gaps): defect is deterministically reproduced from source (literal JSON.stringify render) AND has a committed screenshot + reporter confirmation in issue #9 — stronger than a code trace alone (cf. D-001 conf 4, which lacked live repro); capped below 8 only because the reach-share estimate rests on no operator-usage measurement. Severity 5 is human triage-owned; not modified by this role.</t>
        </is>
      </c>
      <c r="Q12" s="27">
        <f>IF(V12="Defect","",IF(COUNT(G12:K12)&lt;5,"",ROUND(G12*Config!$B$4+H12*Config!$B$5+I12*Config!$B$6+J12*Config!$B$7+K12*Config!$B$8,2)))</f>
        <v/>
      </c>
      <c r="R12" s="27">
        <f>IF(L12="","",VLOOKUP(L12,Config!$A$12:$B$21,2,0))</f>
        <v/>
      </c>
      <c r="S12" s="27">
        <f>IF(N12="","",VLOOKUP(N12,Config!$D$12:$E$21,2,0))</f>
        <v/>
      </c>
      <c r="T12" s="28">
        <f>IF(V12="Defect",IF(OR(X12="",G12="",R12=""),"",ROUND(MIN(100,VLOOKUP(X12,Config!$G$12:$H$16,2,0)*VLOOKUP(G12,Config!$I$12:$J$21,2,0)*R12),1)),IF(OR(Q12="",R12="",S12="",M12=""),"",ROUND(MIN(100,Q12*R12*S12/M12*20),1)))</f>
        <v/>
      </c>
      <c r="U12" s="29">
        <f>IF(T12="","",RANK(T12,$T$4:$T$52))</f>
        <v/>
      </c>
      <c r="V12" s="32" t="inlineStr">
        <is>
          <t>Defect</t>
        </is>
      </c>
      <c r="W12" t="inlineStr">
        <is>
          <t>Internal</t>
        </is>
      </c>
      <c r="X12" t="n">
        <v>5</v>
      </c>
    </row>
    <row r="13" ht="111.75" customHeight="1">
      <c r="A13" s="21" t="inlineStr">
        <is>
          <t>F-007</t>
        </is>
      </c>
      <c r="B13" s="22" t="inlineStr">
        <is>
          <t>Multi-language and number format internationalization support in the user interface</t>
        </is>
      </c>
      <c r="C13" s="21" t="inlineStr">
        <is>
          <t>briefs/F-007-ui-internationalization.md</t>
        </is>
      </c>
      <c r="D13" s="21" t="inlineStr">
        <is>
          <t>Prioritized</t>
        </is>
      </c>
      <c r="E13" s="21" t="inlineStr">
        <is>
          <t>Market Research Agent</t>
        </is>
      </c>
      <c r="F13" s="21" t="inlineStr">
        <is>
          <t>2026-07-19</t>
        </is>
      </c>
      <c r="G13" s="24" t="n">
        <v>2</v>
      </c>
      <c r="H13" s="24" t="n">
        <v>6</v>
      </c>
      <c r="I13" s="24" t="n">
        <v>8</v>
      </c>
      <c r="J13" s="24" t="n">
        <v>7</v>
      </c>
      <c r="K13" s="24" t="n">
        <v>3</v>
      </c>
      <c r="L13" s="24" t="n">
        <v>4</v>
      </c>
      <c r="M13" s="24" t="n">
        <v>2</v>
      </c>
      <c r="N13" s="24" t="n">
        <v>2</v>
      </c>
      <c r="O13" s="26" t="inlineStr">
        <is>
          <t>Re-verified 2026-07-19: web/package.json zero i18n deps (react, react-dom, @phosphor-icons only); no locale/i18n/.po files under web/; exactly 2 default-locale format sites (DiagnosticsPage.tsx:49, BaselineEditor.tsx:110); zero explicit-Intl/navigator.language/Accept-Language across 111 TS/TSX files; 56 inline JSX text nodes matched across 21 tsx files (confirms brief's &gt;=48 lower bound). Upstream: anything-llm frontend/src/locales ~26 locale folders + translation scripts (verified); upstream issue #1371 non-English UI request (verified). Zero inbound localization requests for this fork (no ticketing channel exists; nothing in docs/README/CHANGELOG).</t>
        </is>
      </c>
      <c r="P13" s="26" t="inlineStr">
        <is>
          <t>reach=2 (population-share floor: ~0% observed non-English operators, prospective fraction unsized/undated; DISSENT: broad whole-UI capability arguably higher — a dated market-entry commitment should trigger reach re-score upward). user_value=6 (real per-session friction for non-English operator, clumsy-not-blocking workaround). business_value=8 (table-stakes enabler of stated market expansion; not 9-10 — enabler, not the market-opener, unsized). time_sensitivity=3 (GTM-tied but NO date supplied; value decays slowly; re-score if dates arrive). confidence=4 (current-state gap code-verified, but demand hypothesis rests on upstream analogs only; zero fork-specific demand signals).</t>
        </is>
      </c>
      <c r="Q13" s="27">
        <f>IF(V13="Defect","",IF(COUNT(G13:K13)&lt;5,"",ROUND(G13*Config!$B$4+H13*Config!$B$5+I13*Config!$B$6+J13*Config!$B$7+K13*Config!$B$8,2)))</f>
        <v/>
      </c>
      <c r="R13" s="27">
        <f>IF(L13="","",VLOOKUP(L13,Config!$A$12:$B$21,2,0))</f>
        <v/>
      </c>
      <c r="S13" s="27">
        <f>IF(N13="","",VLOOKUP(N13,Config!$D$12:$E$21,2,0))</f>
        <v/>
      </c>
      <c r="T13" s="28">
        <f>IF(V13="Defect",IF(OR(X13="",G13="",R13=""),"",ROUND(MIN(100,VLOOKUP(X13,Config!$G$12:$H$16,2,0)*VLOOKUP(G13,Config!$I$12:$J$21,2,0)*R13),1)),IF(OR(Q13="",R13="",S13="",M13=""),"",ROUND(MIN(100,Q13*R13*S13/M13*20),1)))</f>
        <v/>
      </c>
      <c r="U13" s="29">
        <f>IF(T13="","",RANK(T13,$T$4:$T$52))</f>
        <v/>
      </c>
      <c r="V13" s="32" t="inlineStr">
        <is>
          <t>Feature</t>
        </is>
      </c>
    </row>
    <row r="14" ht="112.5" customHeight="1">
      <c r="A14" s="21" t="inlineStr">
        <is>
          <t>D-004</t>
        </is>
      </c>
      <c r="B14" s="22" t="inlineStr">
        <is>
          <t>Lefthand side menu in UI has a visible vertical scroll bar but the scroll bar should always be invisible to the user. The menu should still be vertically scrollable with the mousewheel even though the scrollbar is invisible. Refer to the way that this is handled in the AnythingLLM web frontend for a guide to what is needed for UX and design of the lefthand side menu.</t>
        </is>
      </c>
      <c r="C14" s="21" t="n"/>
      <c r="D14" s="21" t="inlineStr">
        <is>
          <t>Prioritized</t>
        </is>
      </c>
      <c r="E14" s="21" t="inlineStr">
        <is>
          <t>Market Research Agent</t>
        </is>
      </c>
      <c r="F14" s="21" t="inlineStr">
        <is>
          <t>2026-07-15</t>
        </is>
      </c>
      <c r="G14" s="24" t="n">
        <v>6</v>
      </c>
      <c r="H14" s="24" t="n"/>
      <c r="I14" s="24" t="n"/>
      <c r="J14" s="24" t="n">
        <v>2</v>
      </c>
      <c r="K14" s="24" t="n"/>
      <c r="L14" s="24" t="n">
        <v>6</v>
      </c>
      <c r="M14" s="24" t="n"/>
      <c r="N14" s="24" t="n"/>
      <c r="O14" s="26" t="inlineStr">
        <is>
          <t>Code inspection (2026-07-15): web/src/index.css:103-107 — .ac-sidebar-nav sets overflow-y:auto with NO scrollbar-hiding declarations (no scrollbar-width:none, no ::-webkit-scrollbar{display:none}), so a native vertical scrollbar renders whenever the nav content exceeds viewport height. The sidebar carries ~15 items across sections (App.tsx nav), which overflows at common laptop heights. Reference behavior for the intended fix exists in the AnythingLLM web frontend (scrollbar hidden, wheel-scroll retained), per the reporter. No GH ticket / brief_ref and no committed screenshot — evidence is the deterministic code trace plus the reporter's description.</t>
        </is>
      </c>
      <c r="P14" s="26" t="inlineStr">
        <is>
          <t>Reach 6 (15-40% regular use): the sidebar is on every console screen (seen ~100% of the time), but the defect symptom is conditional on the nav overflowing the viewport, which depends on unmeasured operator window height/zoom; common on 13-14in laptops with this item count but not universal, so 6 not 8. Confidence 6 (deterministic repro, reach gap): the missing-rule mechanism is certain from source, but there is no live screenshot and the overflow frequency across operator viewports is unmeasured. Purely cosmetic (still wheel-scrollable) — severity 1 is human-owned and unchanged by this role.</t>
        </is>
      </c>
      <c r="Q14" s="27">
        <f>IF(V14="Defect","",IF(COUNT(G14:K14)&lt;5,"",ROUND(G14*Config!$B$4+H14*Config!$B$5+I14*Config!$B$6+J14*Config!$B$7+K14*Config!$B$8,2)))</f>
        <v/>
      </c>
      <c r="R14" s="27">
        <f>IF(L14="","",VLOOKUP(L14,Config!$A$12:$B$21,2,0))</f>
        <v/>
      </c>
      <c r="S14" s="27">
        <f>IF(N14="","",VLOOKUP(N14,Config!$D$12:$E$21,2,0))</f>
        <v/>
      </c>
      <c r="T14" s="28">
        <f>IF(V14="Defect",IF(OR(X14="",G14="",R14=""),"",ROUND(MIN(100,VLOOKUP(X14,Config!$G$12:$H$16,2,0)*VLOOKUP(G14,Config!$I$12:$J$21,2,0)*R14),1)),IF(OR(Q14="",R14="",S14="",M14=""),"",ROUND(MIN(100,Q14*R14*S14/M14*20),1)))</f>
        <v/>
      </c>
      <c r="U14" s="29">
        <f>IF(T14="","",RANK(T14,$T$4:$T$52))</f>
        <v/>
      </c>
      <c r="V14" s="32" t="inlineStr">
        <is>
          <t>Defect</t>
        </is>
      </c>
      <c r="W14" t="inlineStr">
        <is>
          <t>Internal</t>
        </is>
      </c>
      <c r="X14" t="n">
        <v>1</v>
      </c>
    </row>
    <row r="15" ht="14.25" customHeight="1">
      <c r="A15" s="21" t="inlineStr">
        <is>
          <t>F-008</t>
        </is>
      </c>
      <c r="B15" s="22" t="inlineStr">
        <is>
          <t>System-wide backups on schedule</t>
        </is>
      </c>
      <c r="C15" s="21" t="inlineStr">
        <is>
          <t>briefs/F-008-system-wide-scheduled-backups.md</t>
        </is>
      </c>
      <c r="D15" s="21" t="inlineStr">
        <is>
          <t>Prioritized</t>
        </is>
      </c>
      <c r="E15" s="21" t="inlineStr">
        <is>
          <t>Market Research Agent</t>
        </is>
      </c>
      <c r="F15" s="21" t="inlineStr">
        <is>
          <t>2026-07-19</t>
        </is>
      </c>
      <c r="G15" s="24" t="n">
        <v>8</v>
      </c>
      <c r="H15" s="24" t="n">
        <v>6</v>
      </c>
      <c r="I15" s="24" t="n">
        <v>7</v>
      </c>
      <c r="J15" s="24" t="n">
        <v>10</v>
      </c>
      <c r="K15" s="24" t="n">
        <v>5</v>
      </c>
      <c r="L15" s="24" t="n">
        <v>6</v>
      </c>
      <c r="M15" s="24" t="n">
        <v>4</v>
      </c>
      <c r="N15" s="24" t="n">
        <v>7</v>
      </c>
      <c r="O15" s="26" t="inlineStr">
        <is>
          <t>Re-verified 2026-07-19: zero backup/restore/snapshot/VACUUM-INTO capability in admin-console AND /home/derek/git/customer-web-app (all hits unrelated: env-dump diagnostics, vitest fixtures). settings-map.ts:39-43 Ollama managed over-the-wire only; zero references to Ollama on-disk storage in either repo. db-path.ts:8 DB_PATH default data/console.db shared by BFF+relay. Manual-backup preconditions exist in TWO runbooks (F-004:86, F-005:90) — brief's 'three' is overstated, F-002 runbook has none. git log --all: zero incident/drill history (only the brief commit itself). No deployment descriptors in either repo. Brief: briefs/F-008-system-wide-scheduled-backups.md (PO scope rulings 2026-07-19 incl. Ollama + ABM/iCloud investigation).</t>
        </is>
      </c>
      <c r="P15" s="26" t="inlineStr">
        <is>
          <t>reach=8 (judgment placement: breadth maximal — 100% of users of all three apps bear continuous data-loss exposure — but anchors 9-10 reward active daily interaction which a background DR capability lacks; pure-breadth reading defends 9-10, reviewer may override either way). user_value=6 (catastrophic-but-latent pain; zero experienced loss events; 7-8 require frequent pain). business_value=7 (production-readiness/GTM enabler + tail-risk defense; GTM milestone unconfirmed, no incident/contract evidence for higher). time_sensitivity=5 (undated production gate; rises 6-7 if near-term GTM date confirmed). confidence=6 (gap existence code-verified ~certain; value magnitude/urgency directional with no incident history; anchored to the weaker evidence class). DISSENT: if PO confirms hard near-term GTM gate, business_value and time_sensitivity are under-scored - re-score then.</t>
        </is>
      </c>
      <c r="Q15" s="27">
        <f>IF(V15="Defect","",IF(COUNT(G15:K15)&lt;5,"",ROUND(G15*Config!$B$4+H15*Config!$B$5+I15*Config!$B$6+J15*Config!$B$7+K15*Config!$B$8,2)))</f>
        <v/>
      </c>
      <c r="R15" s="27">
        <f>IF(L15="","",VLOOKUP(L15,Config!$A$12:$B$21,2,0))</f>
        <v/>
      </c>
      <c r="S15" s="27">
        <f>IF(N15="","",VLOOKUP(N15,Config!$D$12:$E$21,2,0))</f>
        <v/>
      </c>
      <c r="T15" s="28">
        <f>IF(V15="Defect",IF(OR(X15="",G15="",R15=""),"",ROUND(MIN(100,VLOOKUP(X15,Config!$G$12:$H$16,2,0)*VLOOKUP(G15,Config!$I$12:$J$21,2,0)*R15),1)),IF(OR(Q15="",R15="",S15="",M15=""),"",ROUND(MIN(100,Q15*R15*S15/M15*20),1)))</f>
        <v/>
      </c>
      <c r="U15" s="29">
        <f>IF(T15="","",RANK(T15,$T$4:$T$52))</f>
        <v/>
      </c>
      <c r="V15" s="32" t="inlineStr">
        <is>
          <t>Feature</t>
        </is>
      </c>
      <c r="W15" t="inlineStr">
        <is>
          <t>Internal</t>
        </is>
      </c>
    </row>
    <row r="16" ht="14.25" customHeight="1">
      <c r="A16" s="21" t="inlineStr">
        <is>
          <t>D-005</t>
        </is>
      </c>
      <c r="B16" s="22" t="inlineStr">
        <is>
          <t>Dead code: engine adapter envDump() and its GET /v1/system/env-dump wrapper are unused and point at a misleading AnythingLLM endpoint. That endpoint is a 'dump settings to file' action that replies with bare status text 'OK' (a no-op outside production), never JSON. The diagnostics 500 fix repointed getEnvDump() to adapter.getSystem(), so envDump() now survives only as ~8 test mocks. Remove EngineAdapter.envDump, HttpEngineAdapter.envDump, and the stale mocks.</t>
        </is>
      </c>
      <c r="C16" s="21" t="inlineStr">
        <is>
          <t>https://github.com/dispatch-derek/admin-console/issues/10</t>
        </is>
      </c>
      <c r="D16" s="21" t="inlineStr">
        <is>
          <t>Prioritized</t>
        </is>
      </c>
      <c r="E16" s="21" t="inlineStr">
        <is>
          <t>Market Research Agent</t>
        </is>
      </c>
      <c r="F16" s="21" t="inlineStr">
        <is>
          <t>2026-07-19</t>
        </is>
      </c>
      <c r="G16" s="24" t="n">
        <v>1</v>
      </c>
      <c r="H16" s="24" t="n"/>
      <c r="I16" s="24" t="n"/>
      <c r="J16" s="24" t="n">
        <v>5</v>
      </c>
      <c r="K16" s="24" t="n"/>
      <c r="L16" s="24" t="n">
        <v>10</v>
      </c>
      <c r="M16" s="24" t="n">
        <v>1</v>
      </c>
      <c r="N16" s="24" t="n">
        <v>1</v>
      </c>
      <c r="O16" s="26" t="inlineStr">
        <is>
          <t>GH issue dispatch-derek/admin-console#10 (gh issue view 10); re-verified 2026-07-19 by code inspection: envDump interface bff/src/engine/adapter.ts:57, impl :242-245 wrapping /system/env-dump (:243); grep '\.envDump(' bff/src -&gt; 0 callers; survives as 11 mock refs across 9 test files (bff/test/routes/*, bff/test/services/baseline.service.test.ts); fix already landed at bff/src/services/settings.service.ts:341 (getEnvDump -&gt; adapter.getSystem()).</t>
        </is>
      </c>
      <c r="P16" s="26" t="inlineStr">
        <is>
          <t>reach=1 (anchor 1 'rare edge case': dead code, zero runtime callers, 0% of operators affected; original 500 already fixed by repointing getEnvDump). confidence=10 (anchor 10 'validated': exhaustive static verification of a typed codebase — whole-tree grep for call sites yields none; mocks and landed fix confirmed at cited lines).</t>
        </is>
      </c>
      <c r="Q16" s="27">
        <f>IF(V16="Defect","",IF(COUNT(G16:K16)&lt;5,"",ROUND(G16*Config!$B$4+H16*Config!$B$5+I16*Config!$B$6+J16*Config!$B$7+K16*Config!$B$8,2)))</f>
        <v/>
      </c>
      <c r="R16" s="27">
        <f>IF(L16="","",VLOOKUP(L16,Config!$A$12:$B$21,2,0))</f>
        <v/>
      </c>
      <c r="S16" s="27">
        <f>IF(N16="","",VLOOKUP(N16,Config!$D$12:$E$21,2,0))</f>
        <v/>
      </c>
      <c r="T16" s="28">
        <f>IF(V16="Defect",IF(OR(X16="",G16="",R16=""),"",ROUND(MIN(100,VLOOKUP(X16,Config!$G$12:$H$16,2,0)*VLOOKUP(G16,Config!$I$12:$J$21,2,0)*R16),1)),IF(OR(Q16="",R16="",S16="",M16=""),"",ROUND(MIN(100,Q16*R16*S16/M16*20),1)))</f>
        <v/>
      </c>
      <c r="U16" s="29">
        <f>IF(T16="","",RANK(T16,$T$4:$T$52))</f>
        <v/>
      </c>
      <c r="V16" t="inlineStr">
        <is>
          <t>Defect</t>
        </is>
      </c>
      <c r="W16" t="inlineStr">
        <is>
          <t>Internal</t>
        </is>
      </c>
      <c r="X16" t="n">
        <v>1</v>
      </c>
    </row>
    <row r="17" ht="196" customHeight="1">
      <c r="A17" s="21" t="inlineStr">
        <is>
          <t>D-006</t>
        </is>
      </c>
      <c r="B17" s="22" t="inlineStr">
        <is>
          <t>Event relay delivers admin.* envelopes to peers without authentication or TLS enforcement (F-004 security review F2). bff/src/relay/http-peer-transport.ts POSTs admin.* event envelopes to EVENT_BUS_URL peers with no HMAC/mTLS body auth and no https enforcement; http:// peers accepted without scheme validation. Confidentiality/integrity exposure of the admin event stream + forged-event injection risk at consumers. Blast radius bounded by operator-controlled config. Follow-up hardening: HMAC signing or mTLS + require https:// peers in production.</t>
        </is>
      </c>
      <c r="C17" s="21" t="inlineStr">
        <is>
          <t>https://github.com/dispatch-derek/admin-console/issues/16</t>
        </is>
      </c>
      <c r="D17" s="21" t="inlineStr">
        <is>
          <t>Prioritized</t>
        </is>
      </c>
      <c r="E17" s="21" t="inlineStr">
        <is>
          <t>Market Research Agent</t>
        </is>
      </c>
      <c r="F17" s="21" t="inlineStr">
        <is>
          <t>2026-07-19</t>
        </is>
      </c>
      <c r="G17" s="24" t="n">
        <v>1</v>
      </c>
      <c r="H17" s="24" t="n"/>
      <c r="I17" s="24" t="n"/>
      <c r="J17" s="24" t="n"/>
      <c r="K17" s="24" t="n"/>
      <c r="L17" s="24" t="n">
        <v>9</v>
      </c>
      <c r="M17" s="24" t="n"/>
      <c r="N17" s="24" t="n"/>
      <c r="O17" s="26" t="inlineStr">
        <is>
          <t>Re-verified 2026-07-19 (main, F-004 merged via PR #17): bff/src/relay/http-peer-transport.ts:60-67 POST sends only content-type + x-event-delivery-id, no HMAC/signature/bearer/mTLS; bff/src/relay/config.ts:13-17 EVENT_BUS_URL parsed with no scheme validation (http:// accepted); bff/.env.example:24-25 and bff/.env:25 EVENT_BUS_MODE=inproc, EVENT_BUS_URL empty -&gt; HttpPeerTransport inactive in known deployment; bff/src/config.ts:40-56 bus/inproc gating; security/F-004-review.md finding F2 [Medium] independent confirmation; GH issue #16.</t>
        </is>
      </c>
      <c r="P17" s="26" t="inlineStr">
        <is>
          <t>[intake 2026-07-19] Logged from F-004 Phase 7 security review (security/F-004-review.md, finding F2 [Medium]). Accepted for GTM: peers are operator-controlled endpoints on a trusted network and the peer trust model was explicitly deferred by the F-004 spec. Follow-up: HMAC body signing or mTLS, plus require https:// peers when NODE_ENV=production (allow internal http:// only behind a service mesh by opt-in). See also security review F3 (/ready bind address) and F4 (outbound SSRF allowlist). GH issue #16. | [research 2026-07-19] reach=1 (anchor 1 'rare edge case': exposure requires opting into EVENT_BUS_MODE=bus + peer URLs + http/MITM-able hop; known deployment runs inproc, ~0 operators hit it today). confidence=9 (anchor 9: absent-control confirmed by direct code read at exact lines + independent security review F2; residual unknown only that no live bus-mode deployment exercises the path). Not inflating reach to compensate severity - severity (human, 2) carries the fast-track formula by design.</t>
        </is>
      </c>
      <c r="Q17" s="27">
        <f>IF(V17="Defect","",IF(COUNT(G17:K17)&lt;5,"",ROUND(G17*Config!$B$4+H17*Config!$B$5+I17*Config!$B$6+J17*Config!$B$7+K17*Config!$B$8,2)))</f>
        <v/>
      </c>
      <c r="R17" s="27">
        <f>IF(L17="","",VLOOKUP(L17,Config!$A$12:$B$21,2,0))</f>
        <v/>
      </c>
      <c r="S17" s="27">
        <f>IF(N17="","",VLOOKUP(N17,Config!$D$12:$E$21,2,0))</f>
        <v/>
      </c>
      <c r="T17" s="28">
        <f>IF(V17="Defect",IF(OR(X17="",G17="",R17=""),"",ROUND(MIN(100,VLOOKUP(X17,Config!$G$12:$H$16,2,0)*VLOOKUP(G17,Config!$I$12:$J$21,2,0)*R17),1)),IF(OR(Q17="",R17="",S17="",M17=""),"",ROUND(MIN(100,Q17*R17*S17/M17*20),1)))</f>
        <v/>
      </c>
      <c r="U17" s="29">
        <f>IF(T17="","",RANK(T17,$T$4:$T$52))</f>
        <v/>
      </c>
      <c r="V17" t="inlineStr">
        <is>
          <t>Defect</t>
        </is>
      </c>
      <c r="W17" t="inlineStr">
        <is>
          <t>Internal</t>
        </is>
      </c>
      <c r="X17" t="n">
        <v>2</v>
      </c>
    </row>
    <row r="18" ht="14.25" customHeight="1">
      <c r="A18" s="21" t="inlineStr">
        <is>
          <t>F-009</t>
        </is>
      </c>
      <c r="B18" s="22" t="inlineStr">
        <is>
          <t>Console login for console-created admin users</t>
        </is>
      </c>
      <c r="C18" s="21" t="inlineStr">
        <is>
          <t>briefs/F-009-console-login-for-console-created-admin-users.md</t>
        </is>
      </c>
      <c r="D18" s="21" t="inlineStr">
        <is>
          <t>Prioritized</t>
        </is>
      </c>
      <c r="E18" s="21" t="inlineStr">
        <is>
          <t>Market Research Agent</t>
        </is>
      </c>
      <c r="F18" s="21" t="inlineStr">
        <is>
          <t>2026-07-19</t>
        </is>
      </c>
      <c r="G18" s="24" t="n">
        <v>4</v>
      </c>
      <c r="H18" s="24" t="n">
        <v>6</v>
      </c>
      <c r="I18" s="24" t="n">
        <v>4</v>
      </c>
      <c r="J18" s="24" t="n">
        <v>7</v>
      </c>
      <c r="K18" s="24" t="n">
        <v>9</v>
      </c>
      <c r="L18" s="24" t="n">
        <v>5</v>
      </c>
      <c r="M18" s="24" t="n">
        <v>7</v>
      </c>
      <c r="N18" s="24" t="n">
        <v>5</v>
      </c>
      <c r="O18" s="26" t="inlineStr">
        <is>
          <t>Re-verified in-repo 2026-07-19: bff/src/routes/auth.routes.ts:133 (login resolves only staffRepo.findByUsername); bff/src/services/user.service.ts:101-135 (createUser writes engine only, no staff row); bff/src/auth/bootstrap.ts:11-20 (single bootstrap account when staff count==0); web/src/features/ has no staff feature; web/src/api/client.ts:127,131 listStaff/createStaff unconsumed. Firsthand operator report 2026-07-19 (brief), single known deployment/operator. Product-owner timing ruling 2026-07-19: ASAP, go-to-market blocker gating multi-operator testing.</t>
        </is>
      </c>
      <c r="P18" s="26" t="inlineStr">
        <is>
          <t>Scored against console operators as target population. reach=4 ('5-15% or infrequent use'; onboarding-frequency, N=1 deployment today — 3 was arguable). user_value=6 (real pain, clumsy workaround: hand-rolled POST /api/staff + silent-failure UX; held below 7 as pain is onboarding-frequency, not frequent). business_value=4 (indirect GTM precondition, explicitly unquantified — not inflated; confidence carries the uncertainty). time_sensitivity=9 (ASAP/within-quarter window; not 10 — no external hard deadline). confidence=5 (mechanism code-verified, demand side N=1, no tickets/analytics). | Human sign-off 2026-07-19 (risk&gt;=9 flag review): risk revised 10 -&gt; 5 by product owner; flag cleared; status -&gt; Prioritized.</t>
        </is>
      </c>
      <c r="Q18" s="27">
        <f>IF(V18="Defect","",IF(COUNT(G18:K18)&lt;5,"",ROUND(G18*Config!$B$4+H18*Config!$B$5+I18*Config!$B$6+J18*Config!$B$7+K18*Config!$B$8,2)))</f>
        <v/>
      </c>
      <c r="R18" s="27">
        <f>IF(L18="","",VLOOKUP(L18,Config!$A$12:$B$21,2,0))</f>
        <v/>
      </c>
      <c r="S18" s="27">
        <f>IF(N18="","",VLOOKUP(N18,Config!$D$12:$E$21,2,0))</f>
        <v/>
      </c>
      <c r="T18" s="28">
        <f>IF(V18="Defect",IF(OR(X18="",G18="",R18=""),"",ROUND(MIN(100,VLOOKUP(X18,Config!$G$12:$H$16,2,0)*VLOOKUP(G18,Config!$I$12:$J$21,2,0)*R18),1)),IF(OR(Q18="",R18="",S18="",M18=""),"",ROUND(MIN(100,Q18*R18*S18/M18*20),1)))</f>
        <v/>
      </c>
      <c r="U18" s="29">
        <f>IF(T18="","",RANK(T18,$T$4:$T$52))</f>
        <v/>
      </c>
      <c r="V18" s="32" t="inlineStr">
        <is>
          <t>Feature</t>
        </is>
      </c>
    </row>
    <row r="19" ht="14.25" customHeight="1">
      <c r="A19" s="21" t="n"/>
      <c r="B19" s="22" t="n"/>
      <c r="C19" s="21" t="n"/>
      <c r="D19" s="21" t="n"/>
      <c r="E19" s="21" t="n"/>
      <c r="F19" s="21" t="n"/>
      <c r="G19" s="24" t="n"/>
      <c r="H19" s="24" t="n"/>
      <c r="I19" s="24" t="n"/>
      <c r="J19" s="24" t="n"/>
      <c r="K19" s="24" t="n"/>
      <c r="L19" s="24" t="n"/>
      <c r="M19" s="24" t="n"/>
      <c r="N19" s="24" t="n"/>
      <c r="O19" s="26" t="n"/>
      <c r="P19" s="26" t="n"/>
      <c r="Q19" s="27">
        <f>IF(V19="Defect","",IF(COUNT(G19:K19)&lt;5,"",ROUND(G19*Config!$B$4+H19*Config!$B$5+I19*Config!$B$6+J19*Config!$B$7+K19*Config!$B$8,2)))</f>
        <v/>
      </c>
      <c r="R19" s="27">
        <f>IF(L19="","",VLOOKUP(L19,Config!$A$12:$B$21,2,0))</f>
        <v/>
      </c>
      <c r="S19" s="27">
        <f>IF(N19="","",VLOOKUP(N19,Config!$D$12:$E$21,2,0))</f>
        <v/>
      </c>
      <c r="T19" s="28">
        <f>IF(V19="Defect",IF(OR(X19="",G19="",R19=""),"",ROUND(MIN(100,VLOOKUP(X19,Config!$G$12:$H$16,2,0)*VLOOKUP(G19,Config!$I$12:$J$21,2,0)*R19),1)),IF(OR(Q19="",R19="",S19="",M19=""),"",ROUND(MIN(100,Q19*R19*S19/M19*20),1)))</f>
        <v/>
      </c>
      <c r="U19" s="29">
        <f>IF(T19="","",RANK(T19,$T$4:$T$52))</f>
        <v/>
      </c>
    </row>
    <row r="20" ht="14.25" customHeight="1">
      <c r="A20" s="21" t="n"/>
      <c r="B20" s="22" t="n"/>
      <c r="C20" s="21" t="n"/>
      <c r="D20" s="21" t="n"/>
      <c r="E20" s="21" t="n"/>
      <c r="F20" s="21" t="n"/>
      <c r="G20" s="24" t="n"/>
      <c r="H20" s="24" t="n"/>
      <c r="I20" s="24" t="n"/>
      <c r="J20" s="24" t="n"/>
      <c r="K20" s="24" t="n"/>
      <c r="L20" s="24" t="n"/>
      <c r="M20" s="24" t="n"/>
      <c r="N20" s="24" t="n"/>
      <c r="O20" s="26" t="n"/>
      <c r="P20" s="26" t="n"/>
      <c r="Q20" s="27">
        <f>IF(V20="Defect","",IF(COUNT(G20:K20)&lt;5,"",ROUND(G20*Config!$B$4+H20*Config!$B$5+I20*Config!$B$6+J20*Config!$B$7+K20*Config!$B$8,2)))</f>
        <v/>
      </c>
      <c r="R20" s="27">
        <f>IF(L20="","",VLOOKUP(L20,Config!$A$12:$B$21,2,0))</f>
        <v/>
      </c>
      <c r="S20" s="27">
        <f>IF(N20="","",VLOOKUP(N20,Config!$D$12:$E$21,2,0))</f>
        <v/>
      </c>
      <c r="T20" s="28">
        <f>IF(V20="Defect",IF(OR(X20="",G20="",R20=""),"",ROUND(MIN(100,VLOOKUP(X20,Config!$G$12:$H$16,2,0)*VLOOKUP(G20,Config!$I$12:$J$21,2,0)*R20),1)),IF(OR(Q20="",R20="",S20="",M20=""),"",ROUND(MIN(100,Q20*R20*S20/M20*20),1)))</f>
        <v/>
      </c>
      <c r="U20" s="29">
        <f>IF(T20="","",RANK(T20,$T$4:$T$52))</f>
        <v/>
      </c>
    </row>
    <row r="21" ht="14.25" customHeight="1">
      <c r="A21" s="21" t="n"/>
      <c r="B21" s="22" t="n"/>
      <c r="C21" s="21" t="n"/>
      <c r="D21" s="21" t="n"/>
      <c r="E21" s="21" t="n"/>
      <c r="F21" s="21" t="n"/>
      <c r="G21" s="24" t="n"/>
      <c r="H21" s="24" t="n"/>
      <c r="I21" s="24" t="n"/>
      <c r="J21" s="24" t="n"/>
      <c r="K21" s="24" t="n"/>
      <c r="L21" s="24" t="n"/>
      <c r="M21" s="24" t="n"/>
      <c r="N21" s="24" t="n"/>
      <c r="O21" s="26" t="n"/>
      <c r="P21" s="26" t="n"/>
      <c r="Q21" s="27">
        <f>IF(V21="Defect","",IF(COUNT(G21:K21)&lt;5,"",ROUND(G21*Config!$B$4+H21*Config!$B$5+I21*Config!$B$6+J21*Config!$B$7+K21*Config!$B$8,2)))</f>
        <v/>
      </c>
      <c r="R21" s="27">
        <f>IF(L21="","",VLOOKUP(L21,Config!$A$12:$B$21,2,0))</f>
        <v/>
      </c>
      <c r="S21" s="27">
        <f>IF(N21="","",VLOOKUP(N21,Config!$D$12:$E$21,2,0))</f>
        <v/>
      </c>
      <c r="T21" s="28">
        <f>IF(V21="Defect",IF(OR(X21="",G21="",R21=""),"",ROUND(MIN(100,VLOOKUP(X21,Config!$G$12:$H$16,2,0)*VLOOKUP(G21,Config!$I$12:$J$21,2,0)*R21),1)),IF(OR(Q21="",R21="",S21="",M21=""),"",ROUND(MIN(100,Q21*R21*S21/M21*20),1)))</f>
        <v/>
      </c>
      <c r="U21" s="29">
        <f>IF(T21="","",RANK(T21,$T$4:$T$52))</f>
        <v/>
      </c>
    </row>
    <row r="22" ht="14.25" customHeight="1">
      <c r="A22" s="21" t="n"/>
      <c r="B22" s="22" t="n"/>
      <c r="C22" s="21" t="n"/>
      <c r="D22" s="21" t="n"/>
      <c r="E22" s="21" t="n"/>
      <c r="F22" s="21" t="n"/>
      <c r="G22" s="24" t="n"/>
      <c r="H22" s="24" t="n"/>
      <c r="I22" s="24" t="n"/>
      <c r="J22" s="24" t="n"/>
      <c r="K22" s="24" t="n"/>
      <c r="L22" s="24" t="n"/>
      <c r="M22" s="24" t="n"/>
      <c r="N22" s="24" t="n"/>
      <c r="O22" s="26" t="n"/>
      <c r="P22" s="26" t="n"/>
      <c r="Q22" s="27">
        <f>IF(V22="Defect","",IF(COUNT(G22:K22)&lt;5,"",ROUND(G22*Config!$B$4+H22*Config!$B$5+I22*Config!$B$6+J22*Config!$B$7+K22*Config!$B$8,2)))</f>
        <v/>
      </c>
      <c r="R22" s="27">
        <f>IF(L22="","",VLOOKUP(L22,Config!$A$12:$B$21,2,0))</f>
        <v/>
      </c>
      <c r="S22" s="27">
        <f>IF(N22="","",VLOOKUP(N22,Config!$D$12:$E$21,2,0))</f>
        <v/>
      </c>
      <c r="T22" s="28">
        <f>IF(V22="Defect",IF(OR(X22="",G22="",R22=""),"",ROUND(MIN(100,VLOOKUP(X22,Config!$G$12:$H$16,2,0)*VLOOKUP(G22,Config!$I$12:$J$21,2,0)*R22),1)),IF(OR(Q22="",R22="",S22="",M22=""),"",ROUND(MIN(100,Q22*R22*S22/M22*20),1)))</f>
        <v/>
      </c>
      <c r="U22" s="29">
        <f>IF(T22="","",RANK(T22,$T$4:$T$52))</f>
        <v/>
      </c>
    </row>
    <row r="23" ht="14.25" customHeight="1">
      <c r="A23" s="21" t="n"/>
      <c r="B23" s="22" t="n"/>
      <c r="C23" s="21" t="n"/>
      <c r="D23" s="21" t="n"/>
      <c r="E23" s="21" t="n"/>
      <c r="F23" s="21" t="n"/>
      <c r="G23" s="24" t="n"/>
      <c r="H23" s="24" t="n"/>
      <c r="I23" s="24" t="n"/>
      <c r="J23" s="24" t="n"/>
      <c r="K23" s="24" t="n"/>
      <c r="L23" s="24" t="n"/>
      <c r="M23" s="24" t="n"/>
      <c r="N23" s="24" t="n"/>
      <c r="O23" s="26" t="n"/>
      <c r="P23" s="26" t="n"/>
      <c r="Q23" s="27">
        <f>IF(V23="Defect","",IF(COUNT(G23:K23)&lt;5,"",ROUND(G23*Config!$B$4+H23*Config!$B$5+I23*Config!$B$6+J23*Config!$B$7+K23*Config!$B$8,2)))</f>
        <v/>
      </c>
      <c r="R23" s="27">
        <f>IF(L23="","",VLOOKUP(L23,Config!$A$12:$B$21,2,0))</f>
        <v/>
      </c>
      <c r="S23" s="27">
        <f>IF(N23="","",VLOOKUP(N23,Config!$D$12:$E$21,2,0))</f>
        <v/>
      </c>
      <c r="T23" s="28">
        <f>IF(V23="Defect",IF(OR(X23="",G23="",R23=""),"",ROUND(MIN(100,VLOOKUP(X23,Config!$G$12:$H$16,2,0)*VLOOKUP(G23,Config!$I$12:$J$21,2,0)*R23),1)),IF(OR(Q23="",R23="",S23="",M23=""),"",ROUND(MIN(100,Q23*R23*S23/M23*20),1)))</f>
        <v/>
      </c>
      <c r="U23" s="29">
        <f>IF(T23="","",RANK(T23,$T$4:$T$52))</f>
        <v/>
      </c>
    </row>
    <row r="24" ht="14.25" customHeight="1">
      <c r="A24" s="21" t="n"/>
      <c r="B24" s="22" t="n"/>
      <c r="C24" s="21" t="n"/>
      <c r="D24" s="21" t="n"/>
      <c r="E24" s="21" t="n"/>
      <c r="F24" s="21" t="n"/>
      <c r="G24" s="24" t="n"/>
      <c r="H24" s="24" t="n"/>
      <c r="I24" s="24" t="n"/>
      <c r="J24" s="24" t="n"/>
      <c r="K24" s="24" t="n"/>
      <c r="L24" s="24" t="n"/>
      <c r="M24" s="24" t="n"/>
      <c r="N24" s="24" t="n"/>
      <c r="O24" s="26" t="n"/>
      <c r="P24" s="26" t="n"/>
      <c r="Q24" s="27">
        <f>IF(V24="Defect","",IF(COUNT(G24:K24)&lt;5,"",ROUND(G24*Config!$B$4+H24*Config!$B$5+I24*Config!$B$6+J24*Config!$B$7+K24*Config!$B$8,2)))</f>
        <v/>
      </c>
      <c r="R24" s="27">
        <f>IF(L24="","",VLOOKUP(L24,Config!$A$12:$B$21,2,0))</f>
        <v/>
      </c>
      <c r="S24" s="27">
        <f>IF(N24="","",VLOOKUP(N24,Config!$D$12:$E$21,2,0))</f>
        <v/>
      </c>
      <c r="T24" s="28">
        <f>IF(V24="Defect",IF(OR(X24="",G24="",R24=""),"",ROUND(MIN(100,VLOOKUP(X24,Config!$G$12:$H$16,2,0)*VLOOKUP(G24,Config!$I$12:$J$21,2,0)*R24),1)),IF(OR(Q24="",R24="",S24="",M24=""),"",ROUND(MIN(100,Q24*R24*S24/M24*20),1)))</f>
        <v/>
      </c>
      <c r="U24" s="29">
        <f>IF(T24="","",RANK(T24,$T$4:$T$52))</f>
        <v/>
      </c>
    </row>
    <row r="25" ht="14.25" customHeight="1">
      <c r="A25" s="21" t="n"/>
      <c r="B25" s="22" t="n"/>
      <c r="C25" s="21" t="n"/>
      <c r="D25" s="21" t="n"/>
      <c r="E25" s="21" t="n"/>
      <c r="F25" s="21" t="n"/>
      <c r="G25" s="24" t="n"/>
      <c r="H25" s="24" t="n"/>
      <c r="I25" s="24" t="n"/>
      <c r="J25" s="24" t="n"/>
      <c r="K25" s="24" t="n"/>
      <c r="L25" s="24" t="n"/>
      <c r="M25" s="24" t="n"/>
      <c r="N25" s="24" t="n"/>
      <c r="O25" s="26" t="n"/>
      <c r="P25" s="26" t="n"/>
      <c r="Q25" s="27">
        <f>IF(V25="Defect","",IF(COUNT(G25:K25)&lt;5,"",ROUND(G25*Config!$B$4+H25*Config!$B$5+I25*Config!$B$6+J25*Config!$B$7+K25*Config!$B$8,2)))</f>
        <v/>
      </c>
      <c r="R25" s="27">
        <f>IF(L25="","",VLOOKUP(L25,Config!$A$12:$B$21,2,0))</f>
        <v/>
      </c>
      <c r="S25" s="27">
        <f>IF(N25="","",VLOOKUP(N25,Config!$D$12:$E$21,2,0))</f>
        <v/>
      </c>
      <c r="T25" s="28">
        <f>IF(V25="Defect",IF(OR(X25="",G25="",R25=""),"",ROUND(MIN(100,VLOOKUP(X25,Config!$G$12:$H$16,2,0)*VLOOKUP(G25,Config!$I$12:$J$21,2,0)*R25),1)),IF(OR(Q25="",R25="",S25="",M25=""),"",ROUND(MIN(100,Q25*R25*S25/M25*20),1)))</f>
        <v/>
      </c>
      <c r="U25" s="29">
        <f>IF(T25="","",RANK(T25,$T$4:$T$52))</f>
        <v/>
      </c>
    </row>
    <row r="26" ht="14.25" customHeight="1">
      <c r="A26" s="21" t="n"/>
      <c r="B26" s="22" t="n"/>
      <c r="C26" s="21" t="n"/>
      <c r="D26" s="21" t="n"/>
      <c r="E26" s="21" t="n"/>
      <c r="F26" s="21" t="n"/>
      <c r="G26" s="24" t="n"/>
      <c r="H26" s="24" t="n"/>
      <c r="I26" s="24" t="n"/>
      <c r="J26" s="24" t="n"/>
      <c r="K26" s="24" t="n"/>
      <c r="L26" s="24" t="n"/>
      <c r="M26" s="24" t="n"/>
      <c r="N26" s="24" t="n"/>
      <c r="O26" s="26" t="n"/>
      <c r="P26" s="26" t="n"/>
      <c r="Q26" s="27">
        <f>IF(V26="Defect","",IF(COUNT(G26:K26)&lt;5,"",ROUND(G26*Config!$B$4+H26*Config!$B$5+I26*Config!$B$6+J26*Config!$B$7+K26*Config!$B$8,2)))</f>
        <v/>
      </c>
      <c r="R26" s="27">
        <f>IF(L26="","",VLOOKUP(L26,Config!$A$12:$B$21,2,0))</f>
        <v/>
      </c>
      <c r="S26" s="27">
        <f>IF(N26="","",VLOOKUP(N26,Config!$D$12:$E$21,2,0))</f>
        <v/>
      </c>
      <c r="T26" s="28">
        <f>IF(V26="Defect",IF(OR(X26="",G26="",R26=""),"",ROUND(MIN(100,VLOOKUP(X26,Config!$G$12:$H$16,2,0)*VLOOKUP(G26,Config!$I$12:$J$21,2,0)*R26),1)),IF(OR(Q26="",R26="",S26="",M26=""),"",ROUND(MIN(100,Q26*R26*S26/M26*20),1)))</f>
        <v/>
      </c>
      <c r="U26" s="29">
        <f>IF(T26="","",RANK(T26,$T$4:$T$52))</f>
        <v/>
      </c>
    </row>
    <row r="27" ht="14.25" customHeight="1">
      <c r="A27" s="21" t="n"/>
      <c r="B27" s="22" t="n"/>
      <c r="C27" s="21" t="n"/>
      <c r="D27" s="21" t="n"/>
      <c r="E27" s="21" t="n"/>
      <c r="F27" s="21" t="n"/>
      <c r="G27" s="24" t="n"/>
      <c r="H27" s="24" t="n"/>
      <c r="I27" s="24" t="n"/>
      <c r="J27" s="24" t="n"/>
      <c r="K27" s="24" t="n"/>
      <c r="L27" s="24" t="n"/>
      <c r="M27" s="24" t="n"/>
      <c r="N27" s="24" t="n"/>
      <c r="O27" s="26" t="n"/>
      <c r="P27" s="26" t="n"/>
      <c r="Q27" s="27">
        <f>IF(V27="Defect","",IF(COUNT(G27:K27)&lt;5,"",ROUND(G27*Config!$B$4+H27*Config!$B$5+I27*Config!$B$6+J27*Config!$B$7+K27*Config!$B$8,2)))</f>
        <v/>
      </c>
      <c r="R27" s="27">
        <f>IF(L27="","",VLOOKUP(L27,Config!$A$12:$B$21,2,0))</f>
        <v/>
      </c>
      <c r="S27" s="27">
        <f>IF(N27="","",VLOOKUP(N27,Config!$D$12:$E$21,2,0))</f>
        <v/>
      </c>
      <c r="T27" s="28">
        <f>IF(V27="Defect",IF(OR(X27="",G27="",R27=""),"",ROUND(MIN(100,VLOOKUP(X27,Config!$G$12:$H$16,2,0)*VLOOKUP(G27,Config!$I$12:$J$21,2,0)*R27),1)),IF(OR(Q27="",R27="",S27="",M27=""),"",ROUND(MIN(100,Q27*R27*S27/M27*20),1)))</f>
        <v/>
      </c>
      <c r="U27" s="29">
        <f>IF(T27="","",RANK(T27,$T$4:$T$52))</f>
        <v/>
      </c>
    </row>
    <row r="28" ht="14.25" customHeight="1">
      <c r="A28" s="21" t="n"/>
      <c r="B28" s="22" t="n"/>
      <c r="C28" s="21" t="n"/>
      <c r="D28" s="21" t="n"/>
      <c r="E28" s="21" t="n"/>
      <c r="F28" s="21" t="n"/>
      <c r="G28" s="24" t="n"/>
      <c r="H28" s="24" t="n"/>
      <c r="I28" s="24" t="n"/>
      <c r="J28" s="24" t="n"/>
      <c r="K28" s="24" t="n"/>
      <c r="L28" s="24" t="n"/>
      <c r="M28" s="24" t="n"/>
      <c r="N28" s="24" t="n"/>
      <c r="O28" s="26" t="n"/>
      <c r="P28" s="26" t="n"/>
      <c r="Q28" s="27">
        <f>IF(V28="Defect","",IF(COUNT(G28:K28)&lt;5,"",ROUND(G28*Config!$B$4+H28*Config!$B$5+I28*Config!$B$6+J28*Config!$B$7+K28*Config!$B$8,2)))</f>
        <v/>
      </c>
      <c r="R28" s="27">
        <f>IF(L28="","",VLOOKUP(L28,Config!$A$12:$B$21,2,0))</f>
        <v/>
      </c>
      <c r="S28" s="27">
        <f>IF(N28="","",VLOOKUP(N28,Config!$D$12:$E$21,2,0))</f>
        <v/>
      </c>
      <c r="T28" s="28">
        <f>IF(V28="Defect",IF(OR(X28="",G28="",R28=""),"",ROUND(MIN(100,VLOOKUP(X28,Config!$G$12:$H$16,2,0)*VLOOKUP(G28,Config!$I$12:$J$21,2,0)*R28),1)),IF(OR(Q28="",R28="",S28="",M28=""),"",ROUND(MIN(100,Q28*R28*S28/M28*20),1)))</f>
        <v/>
      </c>
      <c r="U28" s="29">
        <f>IF(T28="","",RANK(T28,$T$4:$T$52))</f>
        <v/>
      </c>
    </row>
    <row r="29" ht="14.25" customHeight="1">
      <c r="A29" s="21" t="n"/>
      <c r="B29" s="22" t="n"/>
      <c r="C29" s="21" t="n"/>
      <c r="D29" s="21" t="n"/>
      <c r="E29" s="21" t="n"/>
      <c r="F29" s="21" t="n"/>
      <c r="G29" s="24" t="n"/>
      <c r="H29" s="24" t="n"/>
      <c r="I29" s="24" t="n"/>
      <c r="J29" s="24" t="n"/>
      <c r="K29" s="24" t="n"/>
      <c r="L29" s="24" t="n"/>
      <c r="M29" s="24" t="n"/>
      <c r="N29" s="24" t="n"/>
      <c r="O29" s="26" t="n"/>
      <c r="P29" s="26" t="n"/>
      <c r="Q29" s="27">
        <f>IF(V29="Defect","",IF(COUNT(G29:K29)&lt;5,"",ROUND(G29*Config!$B$4+H29*Config!$B$5+I29*Config!$B$6+J29*Config!$B$7+K29*Config!$B$8,2)))</f>
        <v/>
      </c>
      <c r="R29" s="27">
        <f>IF(L29="","",VLOOKUP(L29,Config!$A$12:$B$21,2,0))</f>
        <v/>
      </c>
      <c r="S29" s="27">
        <f>IF(N29="","",VLOOKUP(N29,Config!$D$12:$E$21,2,0))</f>
        <v/>
      </c>
      <c r="T29" s="28">
        <f>IF(V29="Defect",IF(OR(X29="",G29="",R29=""),"",ROUND(MIN(100,VLOOKUP(X29,Config!$G$12:$H$16,2,0)*VLOOKUP(G29,Config!$I$12:$J$21,2,0)*R29),1)),IF(OR(Q29="",R29="",S29="",M29=""),"",ROUND(MIN(100,Q29*R29*S29/M29*20),1)))</f>
        <v/>
      </c>
      <c r="U29" s="29">
        <f>IF(T29="","",RANK(T29,$T$4:$T$52))</f>
        <v/>
      </c>
    </row>
    <row r="30" ht="14.25" customHeight="1">
      <c r="A30" s="21" t="n"/>
      <c r="B30" s="22" t="n"/>
      <c r="C30" s="21" t="n"/>
      <c r="D30" s="21" t="n"/>
      <c r="E30" s="21" t="n"/>
      <c r="F30" s="21" t="n"/>
      <c r="G30" s="24" t="n"/>
      <c r="H30" s="24" t="n"/>
      <c r="I30" s="24" t="n"/>
      <c r="J30" s="24" t="n"/>
      <c r="K30" s="24" t="n"/>
      <c r="L30" s="24" t="n"/>
      <c r="M30" s="24" t="n"/>
      <c r="N30" s="24" t="n"/>
      <c r="O30" s="26" t="n"/>
      <c r="P30" s="26" t="n"/>
      <c r="Q30" s="27">
        <f>IF(V30="Defect","",IF(COUNT(G30:K30)&lt;5,"",ROUND(G30*Config!$B$4+H30*Config!$B$5+I30*Config!$B$6+J30*Config!$B$7+K30*Config!$B$8,2)))</f>
        <v/>
      </c>
      <c r="R30" s="27">
        <f>IF(L30="","",VLOOKUP(L30,Config!$A$12:$B$21,2,0))</f>
        <v/>
      </c>
      <c r="S30" s="27">
        <f>IF(N30="","",VLOOKUP(N30,Config!$D$12:$E$21,2,0))</f>
        <v/>
      </c>
      <c r="T30" s="28">
        <f>IF(V30="Defect",IF(OR(X30="",G30="",R30=""),"",ROUND(MIN(100,VLOOKUP(X30,Config!$G$12:$H$16,2,0)*VLOOKUP(G30,Config!$I$12:$J$21,2,0)*R30),1)),IF(OR(Q30="",R30="",S30="",M30=""),"",ROUND(MIN(100,Q30*R30*S30/M30*20),1)))</f>
        <v/>
      </c>
      <c r="U30" s="29">
        <f>IF(T30="","",RANK(T30,$T$4:$T$52))</f>
        <v/>
      </c>
    </row>
    <row r="31" ht="14.25" customHeight="1">
      <c r="A31" s="21" t="n"/>
      <c r="B31" s="22" t="n"/>
      <c r="C31" s="21" t="n"/>
      <c r="D31" s="21" t="n"/>
      <c r="E31" s="21" t="n"/>
      <c r="F31" s="21" t="n"/>
      <c r="G31" s="24" t="n"/>
      <c r="H31" s="24" t="n"/>
      <c r="I31" s="24" t="n"/>
      <c r="J31" s="24" t="n"/>
      <c r="K31" s="24" t="n"/>
      <c r="L31" s="24" t="n"/>
      <c r="M31" s="24" t="n"/>
      <c r="N31" s="24" t="n"/>
      <c r="O31" s="26" t="n"/>
      <c r="P31" s="26" t="n"/>
      <c r="Q31" s="27">
        <f>IF(V31="Defect","",IF(COUNT(G31:K31)&lt;5,"",ROUND(G31*Config!$B$4+H31*Config!$B$5+I31*Config!$B$6+J31*Config!$B$7+K31*Config!$B$8,2)))</f>
        <v/>
      </c>
      <c r="R31" s="27">
        <f>IF(L31="","",VLOOKUP(L31,Config!$A$12:$B$21,2,0))</f>
        <v/>
      </c>
      <c r="S31" s="27">
        <f>IF(N31="","",VLOOKUP(N31,Config!$D$12:$E$21,2,0))</f>
        <v/>
      </c>
      <c r="T31" s="28">
        <f>IF(V31="Defect",IF(OR(X31="",G31="",R31=""),"",ROUND(MIN(100,VLOOKUP(X31,Config!$G$12:$H$16,2,0)*VLOOKUP(G31,Config!$I$12:$J$21,2,0)*R31),1)),IF(OR(Q31="",R31="",S31="",M31=""),"",ROUND(MIN(100,Q31*R31*S31/M31*20),1)))</f>
        <v/>
      </c>
      <c r="U31" s="29">
        <f>IF(T31="","",RANK(T31,$T$4:$T$52))</f>
        <v/>
      </c>
    </row>
    <row r="32" ht="14.25" customHeight="1">
      <c r="A32" s="21" t="n"/>
      <c r="B32" s="22" t="n"/>
      <c r="C32" s="21" t="n"/>
      <c r="D32" s="21" t="n"/>
      <c r="E32" s="21" t="n"/>
      <c r="F32" s="21" t="n"/>
      <c r="G32" s="24" t="n"/>
      <c r="H32" s="24" t="n"/>
      <c r="I32" s="24" t="n"/>
      <c r="J32" s="24" t="n"/>
      <c r="K32" s="24" t="n"/>
      <c r="L32" s="24" t="n"/>
      <c r="M32" s="24" t="n"/>
      <c r="N32" s="24" t="n"/>
      <c r="O32" s="26" t="n"/>
      <c r="P32" s="26" t="n"/>
      <c r="Q32" s="27">
        <f>IF(V32="Defect","",IF(COUNT(G32:K32)&lt;5,"",ROUND(G32*Config!$B$4+H32*Config!$B$5+I32*Config!$B$6+J32*Config!$B$7+K32*Config!$B$8,2)))</f>
        <v/>
      </c>
      <c r="R32" s="27">
        <f>IF(L32="","",VLOOKUP(L32,Config!$A$12:$B$21,2,0))</f>
        <v/>
      </c>
      <c r="S32" s="27">
        <f>IF(N32="","",VLOOKUP(N32,Config!$D$12:$E$21,2,0))</f>
        <v/>
      </c>
      <c r="T32" s="28">
        <f>IF(V32="Defect",IF(OR(X32="",G32="",R32=""),"",ROUND(MIN(100,VLOOKUP(X32,Config!$G$12:$H$16,2,0)*VLOOKUP(G32,Config!$I$12:$J$21,2,0)*R32),1)),IF(OR(Q32="",R32="",S32="",M32=""),"",ROUND(MIN(100,Q32*R32*S32/M32*20),1)))</f>
        <v/>
      </c>
      <c r="U32" s="29">
        <f>IF(T32="","",RANK(T32,$T$4:$T$52))</f>
        <v/>
      </c>
    </row>
    <row r="33" ht="14.25" customHeight="1">
      <c r="A33" s="21" t="n"/>
      <c r="B33" s="22" t="n"/>
      <c r="C33" s="21" t="n"/>
      <c r="D33" s="21" t="n"/>
      <c r="E33" s="21" t="n"/>
      <c r="F33" s="21" t="n"/>
      <c r="G33" s="24" t="n"/>
      <c r="H33" s="24" t="n"/>
      <c r="I33" s="24" t="n"/>
      <c r="J33" s="24" t="n"/>
      <c r="K33" s="24" t="n"/>
      <c r="L33" s="24" t="n"/>
      <c r="M33" s="24" t="n"/>
      <c r="N33" s="24" t="n"/>
      <c r="O33" s="26" t="n"/>
      <c r="P33" s="26" t="n"/>
      <c r="Q33" s="27">
        <f>IF(V33="Defect","",IF(COUNT(G33:K33)&lt;5,"",ROUND(G33*Config!$B$4+H33*Config!$B$5+I33*Config!$B$6+J33*Config!$B$7+K33*Config!$B$8,2)))</f>
        <v/>
      </c>
      <c r="R33" s="27">
        <f>IF(L33="","",VLOOKUP(L33,Config!$A$12:$B$21,2,0))</f>
        <v/>
      </c>
      <c r="S33" s="27">
        <f>IF(N33="","",VLOOKUP(N33,Config!$D$12:$E$21,2,0))</f>
        <v/>
      </c>
      <c r="T33" s="28">
        <f>IF(V33="Defect",IF(OR(X33="",G33="",R33=""),"",ROUND(MIN(100,VLOOKUP(X33,Config!$G$12:$H$16,2,0)*VLOOKUP(G33,Config!$I$12:$J$21,2,0)*R33),1)),IF(OR(Q33="",R33="",S33="",M33=""),"",ROUND(MIN(100,Q33*R33*S33/M33*20),1)))</f>
        <v/>
      </c>
      <c r="U33" s="29">
        <f>IF(T33="","",RANK(T33,$T$4:$T$52))</f>
        <v/>
      </c>
    </row>
    <row r="34" ht="14.25" customHeight="1">
      <c r="A34" s="21" t="n"/>
      <c r="B34" s="22" t="n"/>
      <c r="C34" s="21" t="n"/>
      <c r="D34" s="21" t="n"/>
      <c r="E34" s="21" t="n"/>
      <c r="F34" s="21" t="n"/>
      <c r="G34" s="24" t="n"/>
      <c r="H34" s="24" t="n"/>
      <c r="I34" s="24" t="n"/>
      <c r="J34" s="24" t="n"/>
      <c r="K34" s="24" t="n"/>
      <c r="L34" s="24" t="n"/>
      <c r="M34" s="24" t="n"/>
      <c r="N34" s="24" t="n"/>
      <c r="O34" s="26" t="n"/>
      <c r="P34" s="26" t="n"/>
      <c r="Q34" s="27">
        <f>IF(V34="Defect","",IF(COUNT(G34:K34)&lt;5,"",ROUND(G34*Config!$B$4+H34*Config!$B$5+I34*Config!$B$6+J34*Config!$B$7+K34*Config!$B$8,2)))</f>
        <v/>
      </c>
      <c r="R34" s="27">
        <f>IF(L34="","",VLOOKUP(L34,Config!$A$12:$B$21,2,0))</f>
        <v/>
      </c>
      <c r="S34" s="27">
        <f>IF(N34="","",VLOOKUP(N34,Config!$D$12:$E$21,2,0))</f>
        <v/>
      </c>
      <c r="T34" s="28">
        <f>IF(V34="Defect",IF(OR(X34="",G34="",R34=""),"",ROUND(MIN(100,VLOOKUP(X34,Config!$G$12:$H$16,2,0)*VLOOKUP(G34,Config!$I$12:$J$21,2,0)*R34),1)),IF(OR(Q34="",R34="",S34="",M34=""),"",ROUND(MIN(100,Q34*R34*S34/M34*20),1)))</f>
        <v/>
      </c>
      <c r="U34" s="29">
        <f>IF(T34="","",RANK(T34,$T$4:$T$52))</f>
        <v/>
      </c>
    </row>
    <row r="35" ht="14.25" customHeight="1">
      <c r="A35" s="21" t="n"/>
      <c r="B35" s="22" t="n"/>
      <c r="C35" s="21" t="n"/>
      <c r="D35" s="21" t="n"/>
      <c r="E35" s="21" t="n"/>
      <c r="F35" s="21" t="n"/>
      <c r="G35" s="24" t="n"/>
      <c r="H35" s="24" t="n"/>
      <c r="I35" s="24" t="n"/>
      <c r="J35" s="24" t="n"/>
      <c r="K35" s="24" t="n"/>
      <c r="L35" s="24" t="n"/>
      <c r="M35" s="24" t="n"/>
      <c r="N35" s="24" t="n"/>
      <c r="O35" s="26" t="n"/>
      <c r="P35" s="26" t="n"/>
      <c r="Q35" s="27">
        <f>IF(V35="Defect","",IF(COUNT(G35:K35)&lt;5,"",ROUND(G35*Config!$B$4+H35*Config!$B$5+I35*Config!$B$6+J35*Config!$B$7+K35*Config!$B$8,2)))</f>
        <v/>
      </c>
      <c r="R35" s="27">
        <f>IF(L35="","",VLOOKUP(L35,Config!$A$12:$B$21,2,0))</f>
        <v/>
      </c>
      <c r="S35" s="27">
        <f>IF(N35="","",VLOOKUP(N35,Config!$D$12:$E$21,2,0))</f>
        <v/>
      </c>
      <c r="T35" s="28">
        <f>IF(V35="Defect",IF(OR(X35="",G35="",R35=""),"",ROUND(MIN(100,VLOOKUP(X35,Config!$G$12:$H$16,2,0)*VLOOKUP(G35,Config!$I$12:$J$21,2,0)*R35),1)),IF(OR(Q35="",R35="",S35="",M35=""),"",ROUND(MIN(100,Q35*R35*S35/M35*20),1)))</f>
        <v/>
      </c>
      <c r="U35" s="29">
        <f>IF(T35="","",RANK(T35,$T$4:$T$52))</f>
        <v/>
      </c>
    </row>
    <row r="36" ht="14.25" customHeight="1">
      <c r="A36" s="21" t="n"/>
      <c r="B36" s="22" t="n"/>
      <c r="C36" s="21" t="n"/>
      <c r="D36" s="21" t="n"/>
      <c r="E36" s="21" t="n"/>
      <c r="F36" s="21" t="n"/>
      <c r="G36" s="24" t="n"/>
      <c r="H36" s="24" t="n"/>
      <c r="I36" s="24" t="n"/>
      <c r="J36" s="24" t="n"/>
      <c r="K36" s="24" t="n"/>
      <c r="L36" s="24" t="n"/>
      <c r="M36" s="24" t="n"/>
      <c r="N36" s="24" t="n"/>
      <c r="O36" s="26" t="n"/>
      <c r="P36" s="26" t="n"/>
      <c r="Q36" s="27">
        <f>IF(V36="Defect","",IF(COUNT(G36:K36)&lt;5,"",ROUND(G36*Config!$B$4+H36*Config!$B$5+I36*Config!$B$6+J36*Config!$B$7+K36*Config!$B$8,2)))</f>
        <v/>
      </c>
      <c r="R36" s="27">
        <f>IF(L36="","",VLOOKUP(L36,Config!$A$12:$B$21,2,0))</f>
        <v/>
      </c>
      <c r="S36" s="27">
        <f>IF(N36="","",VLOOKUP(N36,Config!$D$12:$E$21,2,0))</f>
        <v/>
      </c>
      <c r="T36" s="28">
        <f>IF(V36="Defect",IF(OR(X36="",G36="",R36=""),"",ROUND(MIN(100,VLOOKUP(X36,Config!$G$12:$H$16,2,0)*VLOOKUP(G36,Config!$I$12:$J$21,2,0)*R36),1)),IF(OR(Q36="",R36="",S36="",M36=""),"",ROUND(MIN(100,Q36*R36*S36/M36*20),1)))</f>
        <v/>
      </c>
      <c r="U36" s="29">
        <f>IF(T36="","",RANK(T36,$T$4:$T$52))</f>
        <v/>
      </c>
    </row>
    <row r="37" ht="14.25" customHeight="1">
      <c r="A37" s="21" t="n"/>
      <c r="B37" s="22" t="n"/>
      <c r="C37" s="21" t="n"/>
      <c r="D37" s="21" t="n"/>
      <c r="E37" s="21" t="n"/>
      <c r="F37" s="21" t="n"/>
      <c r="G37" s="24" t="n"/>
      <c r="H37" s="24" t="n"/>
      <c r="I37" s="24" t="n"/>
      <c r="J37" s="24" t="n"/>
      <c r="K37" s="24" t="n"/>
      <c r="L37" s="24" t="n"/>
      <c r="M37" s="24" t="n"/>
      <c r="N37" s="24" t="n"/>
      <c r="O37" s="26" t="n"/>
      <c r="P37" s="26" t="n"/>
      <c r="Q37" s="27">
        <f>IF(V37="Defect","",IF(COUNT(G37:K37)&lt;5,"",ROUND(G37*Config!$B$4+H37*Config!$B$5+I37*Config!$B$6+J37*Config!$B$7+K37*Config!$B$8,2)))</f>
        <v/>
      </c>
      <c r="R37" s="27">
        <f>IF(L37="","",VLOOKUP(L37,Config!$A$12:$B$21,2,0))</f>
        <v/>
      </c>
      <c r="S37" s="27">
        <f>IF(N37="","",VLOOKUP(N37,Config!$D$12:$E$21,2,0))</f>
        <v/>
      </c>
      <c r="T37" s="28">
        <f>IF(V37="Defect",IF(OR(X37="",G37="",R37=""),"",ROUND(MIN(100,VLOOKUP(X37,Config!$G$12:$H$16,2,0)*VLOOKUP(G37,Config!$I$12:$J$21,2,0)*R37),1)),IF(OR(Q37="",R37="",S37="",M37=""),"",ROUND(MIN(100,Q37*R37*S37/M37*20),1)))</f>
        <v/>
      </c>
      <c r="U37" s="29">
        <f>IF(T37="","",RANK(T37,$T$4:$T$52))</f>
        <v/>
      </c>
    </row>
    <row r="38" ht="14.25" customHeight="1">
      <c r="A38" s="21" t="n"/>
      <c r="B38" s="22" t="n"/>
      <c r="C38" s="21" t="n"/>
      <c r="D38" s="21" t="n"/>
      <c r="E38" s="21" t="n"/>
      <c r="F38" s="21" t="n"/>
      <c r="G38" s="24" t="n"/>
      <c r="H38" s="24" t="n"/>
      <c r="I38" s="24" t="n"/>
      <c r="J38" s="24" t="n"/>
      <c r="K38" s="24" t="n"/>
      <c r="L38" s="24" t="n"/>
      <c r="M38" s="24" t="n"/>
      <c r="N38" s="24" t="n"/>
      <c r="O38" s="26" t="n"/>
      <c r="P38" s="26" t="n"/>
      <c r="Q38" s="27">
        <f>IF(V38="Defect","",IF(COUNT(G38:K38)&lt;5,"",ROUND(G38*Config!$B$4+H38*Config!$B$5+I38*Config!$B$6+J38*Config!$B$7+K38*Config!$B$8,2)))</f>
        <v/>
      </c>
      <c r="R38" s="27">
        <f>IF(L38="","",VLOOKUP(L38,Config!$A$12:$B$21,2,0))</f>
        <v/>
      </c>
      <c r="S38" s="27">
        <f>IF(N38="","",VLOOKUP(N38,Config!$D$12:$E$21,2,0))</f>
        <v/>
      </c>
      <c r="T38" s="28">
        <f>IF(V38="Defect",IF(OR(X38="",G38="",R38=""),"",ROUND(MIN(100,VLOOKUP(X38,Config!$G$12:$H$16,2,0)*VLOOKUP(G38,Config!$I$12:$J$21,2,0)*R38),1)),IF(OR(Q38="",R38="",S38="",M38=""),"",ROUND(MIN(100,Q38*R38*S38/M38*20),1)))</f>
        <v/>
      </c>
      <c r="U38" s="29">
        <f>IF(T38="","",RANK(T38,$T$4:$T$52))</f>
        <v/>
      </c>
    </row>
    <row r="39" ht="14.25" customHeight="1">
      <c r="A39" s="21" t="n"/>
      <c r="B39" s="22" t="n"/>
      <c r="C39" s="21" t="n"/>
      <c r="D39" s="21" t="n"/>
      <c r="E39" s="21" t="n"/>
      <c r="F39" s="21" t="n"/>
      <c r="G39" s="24" t="n"/>
      <c r="H39" s="24" t="n"/>
      <c r="I39" s="24" t="n"/>
      <c r="J39" s="24" t="n"/>
      <c r="K39" s="24" t="n"/>
      <c r="L39" s="24" t="n"/>
      <c r="M39" s="24" t="n"/>
      <c r="N39" s="24" t="n"/>
      <c r="O39" s="26" t="n"/>
      <c r="P39" s="26" t="n"/>
      <c r="Q39" s="27">
        <f>IF(V39="Defect","",IF(COUNT(G39:K39)&lt;5,"",ROUND(G39*Config!$B$4+H39*Config!$B$5+I39*Config!$B$6+J39*Config!$B$7+K39*Config!$B$8,2)))</f>
        <v/>
      </c>
      <c r="R39" s="27">
        <f>IF(L39="","",VLOOKUP(L39,Config!$A$12:$B$21,2,0))</f>
        <v/>
      </c>
      <c r="S39" s="27">
        <f>IF(N39="","",VLOOKUP(N39,Config!$D$12:$E$21,2,0))</f>
        <v/>
      </c>
      <c r="T39" s="28">
        <f>IF(V39="Defect",IF(OR(X39="",G39="",R39=""),"",ROUND(MIN(100,VLOOKUP(X39,Config!$G$12:$H$16,2,0)*VLOOKUP(G39,Config!$I$12:$J$21,2,0)*R39),1)),IF(OR(Q39="",R39="",S39="",M39=""),"",ROUND(MIN(100,Q39*R39*S39/M39*20),1)))</f>
        <v/>
      </c>
      <c r="U39" s="29">
        <f>IF(T39="","",RANK(T39,$T$4:$T$52))</f>
        <v/>
      </c>
    </row>
    <row r="40" ht="14.25" customHeight="1">
      <c r="A40" s="21" t="n"/>
      <c r="B40" s="22" t="n"/>
      <c r="C40" s="21" t="n"/>
      <c r="D40" s="21" t="n"/>
      <c r="E40" s="21" t="n"/>
      <c r="F40" s="21" t="n"/>
      <c r="G40" s="24" t="n"/>
      <c r="H40" s="24" t="n"/>
      <c r="I40" s="24" t="n"/>
      <c r="J40" s="24" t="n"/>
      <c r="K40" s="24" t="n"/>
      <c r="L40" s="24" t="n"/>
      <c r="M40" s="24" t="n"/>
      <c r="N40" s="24" t="n"/>
      <c r="O40" s="26" t="n"/>
      <c r="P40" s="26" t="n"/>
      <c r="Q40" s="27">
        <f>IF(V40="Defect","",IF(COUNT(G40:K40)&lt;5,"",ROUND(G40*Config!$B$4+H40*Config!$B$5+I40*Config!$B$6+J40*Config!$B$7+K40*Config!$B$8,2)))</f>
        <v/>
      </c>
      <c r="R40" s="27">
        <f>IF(L40="","",VLOOKUP(L40,Config!$A$12:$B$21,2,0))</f>
        <v/>
      </c>
      <c r="S40" s="27">
        <f>IF(N40="","",VLOOKUP(N40,Config!$D$12:$E$21,2,0))</f>
        <v/>
      </c>
      <c r="T40" s="28">
        <f>IF(V40="Defect",IF(OR(X40="",G40="",R40=""),"",ROUND(MIN(100,VLOOKUP(X40,Config!$G$12:$H$16,2,0)*VLOOKUP(G40,Config!$I$12:$J$21,2,0)*R40),1)),IF(OR(Q40="",R40="",S40="",M40=""),"",ROUND(MIN(100,Q40*R40*S40/M40*20),1)))</f>
        <v/>
      </c>
      <c r="U40" s="29">
        <f>IF(T40="","",RANK(T40,$T$4:$T$52))</f>
        <v/>
      </c>
    </row>
    <row r="41" ht="14.25" customHeight="1">
      <c r="A41" s="21" t="n"/>
      <c r="B41" s="22" t="n"/>
      <c r="C41" s="21" t="n"/>
      <c r="D41" s="21" t="n"/>
      <c r="E41" s="21" t="n"/>
      <c r="F41" s="21" t="n"/>
      <c r="G41" s="24" t="n"/>
      <c r="H41" s="24" t="n"/>
      <c r="I41" s="24" t="n"/>
      <c r="J41" s="24" t="n"/>
      <c r="K41" s="24" t="n"/>
      <c r="L41" s="24" t="n"/>
      <c r="M41" s="24" t="n"/>
      <c r="N41" s="24" t="n"/>
      <c r="O41" s="26" t="n"/>
      <c r="P41" s="26" t="n"/>
      <c r="Q41" s="27">
        <f>IF(V41="Defect","",IF(COUNT(G41:K41)&lt;5,"",ROUND(G41*Config!$B$4+H41*Config!$B$5+I41*Config!$B$6+J41*Config!$B$7+K41*Config!$B$8,2)))</f>
        <v/>
      </c>
      <c r="R41" s="27">
        <f>IF(L41="","",VLOOKUP(L41,Config!$A$12:$B$21,2,0))</f>
        <v/>
      </c>
      <c r="S41" s="27">
        <f>IF(N41="","",VLOOKUP(N41,Config!$D$12:$E$21,2,0))</f>
        <v/>
      </c>
      <c r="T41" s="28">
        <f>IF(V41="Defect",IF(OR(X41="",G41="",R41=""),"",ROUND(MIN(100,VLOOKUP(X41,Config!$G$12:$H$16,2,0)*VLOOKUP(G41,Config!$I$12:$J$21,2,0)*R41),1)),IF(OR(Q41="",R41="",S41="",M41=""),"",ROUND(MIN(100,Q41*R41*S41/M41*20),1)))</f>
        <v/>
      </c>
      <c r="U41" s="29">
        <f>IF(T41="","",RANK(T41,$T$4:$T$52))</f>
        <v/>
      </c>
    </row>
    <row r="42" ht="14.25" customHeight="1">
      <c r="A42" s="21" t="n"/>
      <c r="B42" s="22" t="n"/>
      <c r="C42" s="21" t="n"/>
      <c r="D42" s="21" t="n"/>
      <c r="E42" s="21" t="n"/>
      <c r="F42" s="21" t="n"/>
      <c r="G42" s="24" t="n"/>
      <c r="H42" s="24" t="n"/>
      <c r="I42" s="24" t="n"/>
      <c r="J42" s="24" t="n"/>
      <c r="K42" s="24" t="n"/>
      <c r="L42" s="24" t="n"/>
      <c r="M42" s="24" t="n"/>
      <c r="N42" s="24" t="n"/>
      <c r="O42" s="26" t="n"/>
      <c r="P42" s="26" t="n"/>
      <c r="Q42" s="27">
        <f>IF(V42="Defect","",IF(COUNT(G42:K42)&lt;5,"",ROUND(G42*Config!$B$4+H42*Config!$B$5+I42*Config!$B$6+J42*Config!$B$7+K42*Config!$B$8,2)))</f>
        <v/>
      </c>
      <c r="R42" s="27">
        <f>IF(L42="","",VLOOKUP(L42,Config!$A$12:$B$21,2,0))</f>
        <v/>
      </c>
      <c r="S42" s="27">
        <f>IF(N42="","",VLOOKUP(N42,Config!$D$12:$E$21,2,0))</f>
        <v/>
      </c>
      <c r="T42" s="28">
        <f>IF(V42="Defect",IF(OR(X42="",G42="",R42=""),"",ROUND(MIN(100,VLOOKUP(X42,Config!$G$12:$H$16,2,0)*VLOOKUP(G42,Config!$I$12:$J$21,2,0)*R42),1)),IF(OR(Q42="",R42="",S42="",M42=""),"",ROUND(MIN(100,Q42*R42*S42/M42*20),1)))</f>
        <v/>
      </c>
      <c r="U42" s="29">
        <f>IF(T42="","",RANK(T42,$T$4:$T$52))</f>
        <v/>
      </c>
    </row>
    <row r="43" ht="14.25" customHeight="1">
      <c r="A43" s="21" t="n"/>
      <c r="B43" s="22" t="n"/>
      <c r="C43" s="21" t="n"/>
      <c r="D43" s="21" t="n"/>
      <c r="E43" s="21" t="n"/>
      <c r="F43" s="21" t="n"/>
      <c r="G43" s="24" t="n"/>
      <c r="H43" s="24" t="n"/>
      <c r="I43" s="24" t="n"/>
      <c r="J43" s="24" t="n"/>
      <c r="K43" s="24" t="n"/>
      <c r="L43" s="24" t="n"/>
      <c r="M43" s="24" t="n"/>
      <c r="N43" s="24" t="n"/>
      <c r="O43" s="26" t="n"/>
      <c r="P43" s="26" t="n"/>
      <c r="Q43" s="27">
        <f>IF(V43="Defect","",IF(COUNT(G43:K43)&lt;5,"",ROUND(G43*Config!$B$4+H43*Config!$B$5+I43*Config!$B$6+J43*Config!$B$7+K43*Config!$B$8,2)))</f>
        <v/>
      </c>
      <c r="R43" s="27">
        <f>IF(L43="","",VLOOKUP(L43,Config!$A$12:$B$21,2,0))</f>
        <v/>
      </c>
      <c r="S43" s="27">
        <f>IF(N43="","",VLOOKUP(N43,Config!$D$12:$E$21,2,0))</f>
        <v/>
      </c>
      <c r="T43" s="28">
        <f>IF(V43="Defect",IF(OR(X43="",G43="",R43=""),"",ROUND(MIN(100,VLOOKUP(X43,Config!$G$12:$H$16,2,0)*VLOOKUP(G43,Config!$I$12:$J$21,2,0)*R43),1)),IF(OR(Q43="",R43="",S43="",M43=""),"",ROUND(MIN(100,Q43*R43*S43/M43*20),1)))</f>
        <v/>
      </c>
      <c r="U43" s="29">
        <f>IF(T43="","",RANK(T43,$T$4:$T$52))</f>
        <v/>
      </c>
    </row>
    <row r="44" ht="14.25" customHeight="1">
      <c r="A44" s="21" t="n"/>
      <c r="B44" s="22" t="n"/>
      <c r="C44" s="21" t="n"/>
      <c r="D44" s="21" t="n"/>
      <c r="E44" s="21" t="n"/>
      <c r="F44" s="21" t="n"/>
      <c r="G44" s="24" t="n"/>
      <c r="H44" s="24" t="n"/>
      <c r="I44" s="24" t="n"/>
      <c r="J44" s="24" t="n"/>
      <c r="K44" s="24" t="n"/>
      <c r="L44" s="24" t="n"/>
      <c r="M44" s="24" t="n"/>
      <c r="N44" s="24" t="n"/>
      <c r="O44" s="26" t="n"/>
      <c r="P44" s="26" t="n"/>
      <c r="Q44" s="27">
        <f>IF(V44="Defect","",IF(COUNT(G44:K44)&lt;5,"",ROUND(G44*Config!$B$4+H44*Config!$B$5+I44*Config!$B$6+J44*Config!$B$7+K44*Config!$B$8,2)))</f>
        <v/>
      </c>
      <c r="R44" s="27">
        <f>IF(L44="","",VLOOKUP(L44,Config!$A$12:$B$21,2,0))</f>
        <v/>
      </c>
      <c r="S44" s="27">
        <f>IF(N44="","",VLOOKUP(N44,Config!$D$12:$E$21,2,0))</f>
        <v/>
      </c>
      <c r="T44" s="28">
        <f>IF(V44="Defect",IF(OR(X44="",G44="",R44=""),"",ROUND(MIN(100,VLOOKUP(X44,Config!$G$12:$H$16,2,0)*VLOOKUP(G44,Config!$I$12:$J$21,2,0)*R44),1)),IF(OR(Q44="",R44="",S44="",M44=""),"",ROUND(MIN(100,Q44*R44*S44/M44*20),1)))</f>
        <v/>
      </c>
      <c r="U44" s="29">
        <f>IF(T44="","",RANK(T44,$T$4:$T$52))</f>
        <v/>
      </c>
    </row>
    <row r="45" ht="14.25" customHeight="1">
      <c r="A45" s="21" t="n"/>
      <c r="B45" s="22" t="n"/>
      <c r="C45" s="21" t="n"/>
      <c r="D45" s="21" t="n"/>
      <c r="E45" s="21" t="n"/>
      <c r="F45" s="21" t="n"/>
      <c r="G45" s="24" t="n"/>
      <c r="H45" s="24" t="n"/>
      <c r="I45" s="24" t="n"/>
      <c r="J45" s="24" t="n"/>
      <c r="K45" s="24" t="n"/>
      <c r="L45" s="24" t="n"/>
      <c r="M45" s="24" t="n"/>
      <c r="N45" s="24" t="n"/>
      <c r="O45" s="26" t="n"/>
      <c r="P45" s="26" t="n"/>
      <c r="Q45" s="27">
        <f>IF(V45="Defect","",IF(COUNT(G45:K45)&lt;5,"",ROUND(G45*Config!$B$4+H45*Config!$B$5+I45*Config!$B$6+J45*Config!$B$7+K45*Config!$B$8,2)))</f>
        <v/>
      </c>
      <c r="R45" s="27">
        <f>IF(L45="","",VLOOKUP(L45,Config!$A$12:$B$21,2,0))</f>
        <v/>
      </c>
      <c r="S45" s="27">
        <f>IF(N45="","",VLOOKUP(N45,Config!$D$12:$E$21,2,0))</f>
        <v/>
      </c>
      <c r="T45" s="28">
        <f>IF(V45="Defect",IF(OR(X45="",G45="",R45=""),"",ROUND(MIN(100,VLOOKUP(X45,Config!$G$12:$H$16,2,0)*VLOOKUP(G45,Config!$I$12:$J$21,2,0)*R45),1)),IF(OR(Q45="",R45="",S45="",M45=""),"",ROUND(MIN(100,Q45*R45*S45/M45*20),1)))</f>
        <v/>
      </c>
      <c r="U45" s="29">
        <f>IF(T45="","",RANK(T45,$T$4:$T$52))</f>
        <v/>
      </c>
    </row>
    <row r="46" ht="14.25" customHeight="1">
      <c r="A46" s="21" t="n"/>
      <c r="B46" s="22" t="n"/>
      <c r="C46" s="21" t="n"/>
      <c r="D46" s="21" t="n"/>
      <c r="E46" s="21" t="n"/>
      <c r="F46" s="21" t="n"/>
      <c r="G46" s="24" t="n"/>
      <c r="H46" s="24" t="n"/>
      <c r="I46" s="24" t="n"/>
      <c r="J46" s="24" t="n"/>
      <c r="K46" s="24" t="n"/>
      <c r="L46" s="24" t="n"/>
      <c r="M46" s="24" t="n"/>
      <c r="N46" s="24" t="n"/>
      <c r="O46" s="26" t="n"/>
      <c r="P46" s="26" t="n"/>
      <c r="Q46" s="27">
        <f>IF(V46="Defect","",IF(COUNT(G46:K46)&lt;5,"",ROUND(G46*Config!$B$4+H46*Config!$B$5+I46*Config!$B$6+J46*Config!$B$7+K46*Config!$B$8,2)))</f>
        <v/>
      </c>
      <c r="R46" s="27">
        <f>IF(L46="","",VLOOKUP(L46,Config!$A$12:$B$21,2,0))</f>
        <v/>
      </c>
      <c r="S46" s="27">
        <f>IF(N46="","",VLOOKUP(N46,Config!$D$12:$E$21,2,0))</f>
        <v/>
      </c>
      <c r="T46" s="28">
        <f>IF(V46="Defect",IF(OR(X46="",G46="",R46=""),"",ROUND(MIN(100,VLOOKUP(X46,Config!$G$12:$H$16,2,0)*VLOOKUP(G46,Config!$I$12:$J$21,2,0)*R46),1)),IF(OR(Q46="",R46="",S46="",M46=""),"",ROUND(MIN(100,Q46*R46*S46/M46*20),1)))</f>
        <v/>
      </c>
      <c r="U46" s="29">
        <f>IF(T46="","",RANK(T46,$T$4:$T$52))</f>
        <v/>
      </c>
    </row>
    <row r="47" ht="14.25" customHeight="1">
      <c r="A47" s="21" t="n"/>
      <c r="B47" s="22" t="n"/>
      <c r="C47" s="21" t="n"/>
      <c r="D47" s="21" t="n"/>
      <c r="E47" s="21" t="n"/>
      <c r="F47" s="21" t="n"/>
      <c r="G47" s="24" t="n"/>
      <c r="H47" s="24" t="n"/>
      <c r="I47" s="24" t="n"/>
      <c r="J47" s="24" t="n"/>
      <c r="K47" s="24" t="n"/>
      <c r="L47" s="24" t="n"/>
      <c r="M47" s="24" t="n"/>
      <c r="N47" s="24" t="n"/>
      <c r="O47" s="26" t="n"/>
      <c r="P47" s="26" t="n"/>
      <c r="Q47" s="27">
        <f>IF(V47="Defect","",IF(COUNT(G47:K47)&lt;5,"",ROUND(G47*Config!$B$4+H47*Config!$B$5+I47*Config!$B$6+J47*Config!$B$7+K47*Config!$B$8,2)))</f>
        <v/>
      </c>
      <c r="R47" s="27">
        <f>IF(L47="","",VLOOKUP(L47,Config!$A$12:$B$21,2,0))</f>
        <v/>
      </c>
      <c r="S47" s="27">
        <f>IF(N47="","",VLOOKUP(N47,Config!$D$12:$E$21,2,0))</f>
        <v/>
      </c>
      <c r="T47" s="28">
        <f>IF(V47="Defect",IF(OR(X47="",G47="",R47=""),"",ROUND(MIN(100,VLOOKUP(X47,Config!$G$12:$H$16,2,0)*VLOOKUP(G47,Config!$I$12:$J$21,2,0)*R47),1)),IF(OR(Q47="",R47="",S47="",M47=""),"",ROUND(MIN(100,Q47*R47*S47/M47*20),1)))</f>
        <v/>
      </c>
      <c r="U47" s="29">
        <f>IF(T47="","",RANK(T47,$T$4:$T$52))</f>
        <v/>
      </c>
    </row>
    <row r="48" ht="14.25" customHeight="1">
      <c r="A48" s="21" t="n"/>
      <c r="B48" s="22" t="n"/>
      <c r="C48" s="21" t="n"/>
      <c r="D48" s="21" t="n"/>
      <c r="E48" s="21" t="n"/>
      <c r="F48" s="21" t="n"/>
      <c r="G48" s="24" t="n"/>
      <c r="H48" s="24" t="n"/>
      <c r="I48" s="24" t="n"/>
      <c r="J48" s="24" t="n"/>
      <c r="K48" s="24" t="n"/>
      <c r="L48" s="24" t="n"/>
      <c r="M48" s="24" t="n"/>
      <c r="N48" s="24" t="n"/>
      <c r="O48" s="26" t="n"/>
      <c r="P48" s="26" t="n"/>
      <c r="Q48" s="27">
        <f>IF(V48="Defect","",IF(COUNT(G48:K48)&lt;5,"",ROUND(G48*Config!$B$4+H48*Config!$B$5+I48*Config!$B$6+J48*Config!$B$7+K48*Config!$B$8,2)))</f>
        <v/>
      </c>
      <c r="R48" s="27">
        <f>IF(L48="","",VLOOKUP(L48,Config!$A$12:$B$21,2,0))</f>
        <v/>
      </c>
      <c r="S48" s="27">
        <f>IF(N48="","",VLOOKUP(N48,Config!$D$12:$E$21,2,0))</f>
        <v/>
      </c>
      <c r="T48" s="28">
        <f>IF(V48="Defect",IF(OR(X48="",G48="",R48=""),"",ROUND(MIN(100,VLOOKUP(X48,Config!$G$12:$H$16,2,0)*VLOOKUP(G48,Config!$I$12:$J$21,2,0)*R48),1)),IF(OR(Q48="",R48="",S48="",M48=""),"",ROUND(MIN(100,Q48*R48*S48/M48*20),1)))</f>
        <v/>
      </c>
      <c r="U48" s="29">
        <f>IF(T48="","",RANK(T48,$T$4:$T$52))</f>
        <v/>
      </c>
    </row>
    <row r="49" ht="14.25" customHeight="1">
      <c r="A49" s="21" t="n"/>
      <c r="B49" s="22" t="n"/>
      <c r="C49" s="21" t="n"/>
      <c r="D49" s="21" t="n"/>
      <c r="E49" s="21" t="n"/>
      <c r="F49" s="21" t="n"/>
      <c r="G49" s="24" t="n"/>
      <c r="H49" s="24" t="n"/>
      <c r="I49" s="24" t="n"/>
      <c r="J49" s="24" t="n"/>
      <c r="K49" s="24" t="n"/>
      <c r="L49" s="24" t="n"/>
      <c r="M49" s="24" t="n"/>
      <c r="N49" s="24" t="n"/>
      <c r="O49" s="26" t="n"/>
      <c r="P49" s="26" t="n"/>
      <c r="Q49" s="27">
        <f>IF(V49="Defect","",IF(COUNT(G49:K49)&lt;5,"",ROUND(G49*Config!$B$4+H49*Config!$B$5+I49*Config!$B$6+J49*Config!$B$7+K49*Config!$B$8,2)))</f>
        <v/>
      </c>
      <c r="R49" s="27">
        <f>IF(L49="","",VLOOKUP(L49,Config!$A$12:$B$21,2,0))</f>
        <v/>
      </c>
      <c r="S49" s="27">
        <f>IF(N49="","",VLOOKUP(N49,Config!$D$12:$E$21,2,0))</f>
        <v/>
      </c>
      <c r="T49" s="28">
        <f>IF(V49="Defect",IF(OR(X49="",G49="",R49=""),"",ROUND(MIN(100,VLOOKUP(X49,Config!$G$12:$H$16,2,0)*VLOOKUP(G49,Config!$I$12:$J$21,2,0)*R49),1)),IF(OR(Q49="",R49="",S49="",M49=""),"",ROUND(MIN(100,Q49*R49*S49/M49*20),1)))</f>
        <v/>
      </c>
      <c r="U49" s="29">
        <f>IF(T49="","",RANK(T49,$T$4:$T$52))</f>
        <v/>
      </c>
    </row>
    <row r="50" ht="14.25" customHeight="1">
      <c r="A50" s="21" t="n"/>
      <c r="B50" s="22" t="n"/>
      <c r="C50" s="21" t="n"/>
      <c r="D50" s="21" t="n"/>
      <c r="E50" s="21" t="n"/>
      <c r="F50" s="21" t="n"/>
      <c r="G50" s="24" t="n"/>
      <c r="H50" s="24" t="n"/>
      <c r="I50" s="24" t="n"/>
      <c r="J50" s="24" t="n"/>
      <c r="K50" s="24" t="n"/>
      <c r="L50" s="24" t="n"/>
      <c r="M50" s="24" t="n"/>
      <c r="N50" s="24" t="n"/>
      <c r="O50" s="26" t="n"/>
      <c r="P50" s="26" t="n"/>
      <c r="Q50" s="27">
        <f>IF(V50="Defect","",IF(COUNT(G50:K50)&lt;5,"",ROUND(G50*Config!$B$4+H50*Config!$B$5+I50*Config!$B$6+J50*Config!$B$7+K50*Config!$B$8,2)))</f>
        <v/>
      </c>
      <c r="R50" s="27">
        <f>IF(L50="","",VLOOKUP(L50,Config!$A$12:$B$21,2,0))</f>
        <v/>
      </c>
      <c r="S50" s="27">
        <f>IF(N50="","",VLOOKUP(N50,Config!$D$12:$E$21,2,0))</f>
        <v/>
      </c>
      <c r="T50" s="28">
        <f>IF(V50="Defect",IF(OR(X50="",G50="",R50=""),"",ROUND(MIN(100,VLOOKUP(X50,Config!$G$12:$H$16,2,0)*VLOOKUP(G50,Config!$I$12:$J$21,2,0)*R50),1)),IF(OR(Q50="",R50="",S50="",M50=""),"",ROUND(MIN(100,Q50*R50*S50/M50*20),1)))</f>
        <v/>
      </c>
      <c r="U50" s="29">
        <f>IF(T50="","",RANK(T50,$T$4:$T$52))</f>
        <v/>
      </c>
    </row>
    <row r="51" ht="14.25" customHeight="1">
      <c r="A51" s="21" t="n"/>
      <c r="B51" s="22" t="n"/>
      <c r="C51" s="21" t="n"/>
      <c r="D51" s="21" t="n"/>
      <c r="E51" s="21" t="n"/>
      <c r="F51" s="21" t="n"/>
      <c r="G51" s="24" t="n"/>
      <c r="H51" s="24" t="n"/>
      <c r="I51" s="24" t="n"/>
      <c r="J51" s="24" t="n"/>
      <c r="K51" s="24" t="n"/>
      <c r="L51" s="24" t="n"/>
      <c r="M51" s="24" t="n"/>
      <c r="N51" s="24" t="n"/>
      <c r="O51" s="26" t="n"/>
      <c r="P51" s="26" t="n"/>
      <c r="Q51" s="27">
        <f>IF(V51="Defect","",IF(COUNT(G51:K51)&lt;5,"",ROUND(G51*Config!$B$4+H51*Config!$B$5+I51*Config!$B$6+J51*Config!$B$7+K51*Config!$B$8,2)))</f>
        <v/>
      </c>
      <c r="R51" s="27">
        <f>IF(L51="","",VLOOKUP(L51,Config!$A$12:$B$21,2,0))</f>
        <v/>
      </c>
      <c r="S51" s="27">
        <f>IF(N51="","",VLOOKUP(N51,Config!$D$12:$E$21,2,0))</f>
        <v/>
      </c>
      <c r="T51" s="28">
        <f>IF(V51="Defect",IF(OR(X51="",G51="",R51=""),"",ROUND(MIN(100,VLOOKUP(X51,Config!$G$12:$H$16,2,0)*VLOOKUP(G51,Config!$I$12:$J$21,2,0)*R51),1)),IF(OR(Q51="",R51="",S51="",M51=""),"",ROUND(MIN(100,Q51*R51*S51/M51*20),1)))</f>
        <v/>
      </c>
      <c r="U51" s="29">
        <f>IF(T51="","",RANK(T51,$T$4:$T$52))</f>
        <v/>
      </c>
    </row>
    <row r="52" ht="14.25" customHeight="1">
      <c r="A52" s="21" t="n"/>
      <c r="B52" s="22" t="n"/>
      <c r="C52" s="21" t="n"/>
      <c r="D52" s="21" t="n"/>
      <c r="E52" s="21" t="n"/>
      <c r="F52" s="21" t="n"/>
      <c r="G52" s="24" t="n"/>
      <c r="H52" s="24" t="n"/>
      <c r="I52" s="24" t="n"/>
      <c r="J52" s="24" t="n"/>
      <c r="K52" s="24" t="n"/>
      <c r="L52" s="24" t="n"/>
      <c r="M52" s="24" t="n"/>
      <c r="N52" s="24" t="n"/>
      <c r="O52" s="26" t="n"/>
      <c r="P52" s="26" t="n"/>
      <c r="Q52" s="27">
        <f>IF(V52="Defect","",IF(COUNT(G52:K52)&lt;5,"",ROUND(G52*Config!$B$4+H52*Config!$B$5+I52*Config!$B$6+J52*Config!$B$7+K52*Config!$B$8,2)))</f>
        <v/>
      </c>
      <c r="R52" s="27">
        <f>IF(L52="","",VLOOKUP(L52,Config!$A$12:$B$21,2,0))</f>
        <v/>
      </c>
      <c r="S52" s="27">
        <f>IF(N52="","",VLOOKUP(N52,Config!$D$12:$E$21,2,0))</f>
        <v/>
      </c>
      <c r="T52" s="28">
        <f>IF(V52="Defect",IF(OR(X52="",G52="",R52=""),"",ROUND(MIN(100,VLOOKUP(X52,Config!$G$12:$H$16,2,0)*VLOOKUP(G52,Config!$I$12:$J$21,2,0)*R52),1)),IF(OR(Q52="",R52="",S52="",M52=""),"",ROUND(MIN(100,Q52*R52*S52/M52*20),1)))</f>
        <v/>
      </c>
      <c r="U52" s="29">
        <f>IF(T52="","",RANK(T52,$T$4:$T$52))</f>
        <v/>
      </c>
    </row>
  </sheetData>
  <dataValidations count="6">
    <dataValidation sqref="G4:N52" showDropDown="0" showInputMessage="0" showErrorMessage="1" allowBlank="1" error="Scores must be whole numbers 1-5. See Rubric sheet for anchors." type="whole">
      <formula1>1</formula1>
      <formula2>10</formula2>
    </dataValidation>
    <dataValidation sqref="E4:E52" showDropDown="0" showInputMessage="0" showErrorMessage="0" allowBlank="1" type="list">
      <formula1>"Human,Market Research Agent,Hybrid"</formula1>
      <formula2>0</formula2>
    </dataValidation>
    <dataValidation sqref="D4:D52" showDropDown="0" showInputMessage="0" showErrorMessage="0" allowBlank="1" type="list">
      <formula1>"Idea,Brief Drafted,Reported,Triaged,Scored,Prioritized,In Progress,Fixed,Verified,Deferred,Rejected,Won't Fix"</formula1>
      <formula2>0</formula2>
    </dataValidation>
    <dataValidation sqref="V4:V52" showDropDown="0" showInputMessage="0" showErrorMessage="0" allowBlank="1" type="list">
      <formula1>"Feature,Defect"</formula1>
      <formula2>0</formula2>
    </dataValidation>
    <dataValidation sqref="W4:W52" showDropDown="0" showInputMessage="0" showErrorMessage="0" allowBlank="1" type="list">
      <formula1>"Customer-Reported,Internal"</formula1>
      <formula2>0</formula2>
    </dataValidation>
    <dataValidation sqref="X4:X52" showDropDown="0" showInputMessage="0" showErrorMessage="0" allowBlank="1" prompt="Whole number 1-5; see Rubric Severity row (Defect rows only)." type="whole">
      <formula1>1</formula1>
      <formula2>5</formula2>
    </dataValidation>
  </dataValidations>
  <hyperlinks>
    <hyperlink xmlns:r="http://schemas.openxmlformats.org/officeDocument/2006/relationships" ref="O4"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r:id="rId1"/>
    <hyperlink xmlns:r="http://schemas.openxmlformats.org/officeDocument/2006/relationships" ref="C10" r:id="rId2"/>
    <hyperlink xmlns:r="http://schemas.openxmlformats.org/officeDocument/2006/relationships" ref="C12" r:id="rId3"/>
  </hyperlink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27"/>
  <sheetViews>
    <sheetView zoomScaleNormal="100" workbookViewId="0">
      <selection activeCell="F10" sqref="F10"/>
    </sheetView>
  </sheetViews>
  <sheetFormatPr baseColWidth="8" defaultColWidth="8.6328125" defaultRowHeight="14.5"/>
  <cols>
    <col width="24" customWidth="1" min="1" max="1"/>
    <col width="22" customWidth="1" min="2" max="2"/>
    <col width="12" customWidth="1" min="3" max="3"/>
    <col width="46" customWidth="1" min="4" max="4"/>
    <col width="26" customWidth="1" min="5" max="5"/>
    <col width="60" customWidth="1" min="6" max="6"/>
  </cols>
  <sheetData>
    <row r="1" ht="15" customHeight="1">
      <c r="A1" s="4" t="inlineStr">
        <is>
          <t>DATA DICTIONARY - machine-readable field contract for agents</t>
        </is>
      </c>
    </row>
    <row r="3" ht="14.25" customHeight="1">
      <c r="A3" s="35" t="inlineStr">
        <is>
          <t>Column (Scoring sheet)</t>
        </is>
      </c>
      <c r="B3" s="35" t="inlineStr">
        <is>
          <t>field_id</t>
        </is>
      </c>
      <c r="C3" s="35" t="inlineStr">
        <is>
          <t>Type</t>
        </is>
      </c>
      <c r="D3" s="35" t="inlineStr">
        <is>
          <t>Allowed Values / Range</t>
        </is>
      </c>
      <c r="E3" s="35" t="inlineStr">
        <is>
          <t>Owner</t>
        </is>
      </c>
      <c r="F3" s="35" t="inlineStr">
        <is>
          <t>Description</t>
        </is>
      </c>
    </row>
    <row r="4" ht="14.25" customHeight="1">
      <c r="A4" s="17" t="inlineStr">
        <is>
          <t>A: Feature ID</t>
        </is>
      </c>
      <c r="B4" s="17" t="inlineStr">
        <is>
          <t>feature_id</t>
        </is>
      </c>
      <c r="C4" s="17" t="inlineStr">
        <is>
          <t>string</t>
        </is>
      </c>
      <c r="D4" s="17" t="inlineStr">
        <is>
          <t>Unique, pattern F-### (Feature) or D-### (Defect)</t>
        </is>
      </c>
      <c r="E4" s="17" t="inlineStr">
        <is>
          <t>Human</t>
        </is>
      </c>
      <c r="F4" s="17" t="inlineStr">
        <is>
          <t>Stable identifier; used to join to the feature brief (Feature) or defect/bug report (Defect)</t>
        </is>
      </c>
    </row>
    <row r="5" ht="14.25" customHeight="1">
      <c r="A5" s="17" t="inlineStr">
        <is>
          <t>B: Feature Name</t>
        </is>
      </c>
      <c r="B5" s="17" t="inlineStr">
        <is>
          <t>feature_name</t>
        </is>
      </c>
      <c r="C5" s="17" t="inlineStr">
        <is>
          <t>string</t>
        </is>
      </c>
      <c r="D5" s="17" t="inlineStr">
        <is>
          <t>Free text</t>
        </is>
      </c>
      <c r="E5" s="17" t="inlineStr">
        <is>
          <t>Human</t>
        </is>
      </c>
      <c r="F5" s="17" t="inlineStr">
        <is>
          <t>Short human-readable name</t>
        </is>
      </c>
    </row>
    <row r="6" ht="26.25" customHeight="1">
      <c r="A6" s="17" t="inlineStr">
        <is>
          <t>C: Brief Reference</t>
        </is>
      </c>
      <c r="B6" s="17" t="inlineStr">
        <is>
          <t>brief_ref</t>
        </is>
      </c>
      <c r="C6" s="17" t="inlineStr">
        <is>
          <t>string</t>
        </is>
      </c>
      <c r="D6" s="17" t="inlineStr">
        <is>
          <t>Path or URL</t>
        </is>
      </c>
      <c r="E6" s="17" t="inlineStr">
        <is>
          <t>Human</t>
        </is>
      </c>
      <c r="F6" s="17" t="inlineStr">
        <is>
          <t>Link to the feature brief (Feature rows) or the defect/bug report (Defect rows) the score is based on</t>
        </is>
      </c>
    </row>
    <row r="7" ht="27.75" customHeight="1">
      <c r="A7" s="17" t="inlineStr">
        <is>
          <t>D: Status</t>
        </is>
      </c>
      <c r="B7" s="17" t="inlineStr">
        <is>
          <t>status</t>
        </is>
      </c>
      <c r="C7" s="17" t="inlineStr">
        <is>
          <t>enum</t>
        </is>
      </c>
      <c r="D7" s="17" t="inlineStr">
        <is>
          <t>Idea | Brief Drafted | Reported | Triaged | Scored | Prioritized | In Progress | Implemented | Fixed | Verified | Deferred | Rejected | Won't Fix | Cancelled</t>
        </is>
      </c>
      <c r="E7" s="17" t="inlineStr">
        <is>
          <t>Human / Prioritization agent</t>
        </is>
      </c>
      <c r="F7" s="17" t="inlineStr">
        <is>
          <t>Lifecycle state; the valid subset depends on item_type. Feature: Idea -&gt; Brief Drafted -&gt; Scored -&gt; Prioritized -&gt; In Progress -&gt; Implemented, or Deferred | Rejected. Defect: Reported -&gt; Triaged -&gt; Scored -&gt; Prioritized -&gt; In Progress -&gt; Fixed -&gt; Verified, or Deferred | Won't Fix. Prioritization agent may advance Scored -&gt; Prioritized for either type; /implement-spec advances Feature rows Prioritized -&gt; In Progress -&gt; Implemented; /fix-defect-or-bug advances Defect rows In Progress -&gt; Fixed -&gt; Verified. Cancelled: human-only terminal state for either item_type, settable at any point after logging - the item was valid to log but later judged not worth doing. Agents never write Cancelled; Cancelled rows are excluded from scoring, ranking, and staleness checks.</t>
        </is>
      </c>
    </row>
    <row r="8" ht="14.25" customHeight="1">
      <c r="A8" s="17" t="inlineStr">
        <is>
          <t>E: Scored By</t>
        </is>
      </c>
      <c r="B8" s="17" t="inlineStr">
        <is>
          <t>scored_by</t>
        </is>
      </c>
      <c r="C8" s="17" t="inlineStr">
        <is>
          <t>enum</t>
        </is>
      </c>
      <c r="D8" s="17" t="inlineStr">
        <is>
          <t>Human | Market Research Agent | Hybrid</t>
        </is>
      </c>
      <c r="E8" s="17" t="inlineStr">
        <is>
          <t>Scorer</t>
        </is>
      </c>
      <c r="F8" s="17" t="inlineStr">
        <is>
          <t>Provenance of the scores in this row</t>
        </is>
      </c>
    </row>
    <row r="9" ht="14.25" customHeight="1">
      <c r="A9" s="17" t="inlineStr">
        <is>
          <t>F: Date Scored</t>
        </is>
      </c>
      <c r="B9" s="17" t="inlineStr">
        <is>
          <t>date_scored</t>
        </is>
      </c>
      <c r="C9" s="17" t="inlineStr">
        <is>
          <t>date</t>
        </is>
      </c>
      <c r="D9" s="17" t="inlineStr">
        <is>
          <t>ISO 8601 (YYYY-MM-DD)</t>
        </is>
      </c>
      <c r="E9" s="17" t="inlineStr">
        <is>
          <t>Scorer</t>
        </is>
      </c>
      <c r="F9" s="17" t="inlineStr">
        <is>
          <t>When scores were last updated; prioritizer may discount stale rows</t>
        </is>
      </c>
    </row>
    <row r="10" ht="26.25" customHeight="1">
      <c r="A10" s="17" t="inlineStr">
        <is>
          <t>G: Reach</t>
        </is>
      </c>
      <c r="B10" s="17" t="inlineStr">
        <is>
          <t>reach</t>
        </is>
      </c>
      <c r="C10" s="17" t="inlineStr">
        <is>
          <t>integer</t>
        </is>
      </c>
      <c r="D10" s="17" t="inlineStr">
        <is>
          <t>1-10 (Rubric sheet)</t>
        </is>
      </c>
      <c r="E10" s="17" t="inlineStr">
        <is>
          <t>Human / Research agent</t>
        </is>
      </c>
      <c r="F10" s="17" t="inlineStr">
        <is>
          <t>Share of users affected and frequency of exposure For Defect rows: share of customers who hit the bug (feeds the fast-track reach factor).</t>
        </is>
      </c>
    </row>
    <row r="11" ht="14.25" customHeight="1">
      <c r="A11" s="17" t="inlineStr">
        <is>
          <t>H: User Value</t>
        </is>
      </c>
      <c r="B11" s="17" t="inlineStr">
        <is>
          <t>user_value</t>
        </is>
      </c>
      <c r="C11" s="17" t="inlineStr">
        <is>
          <t>integer</t>
        </is>
      </c>
      <c r="D11" s="17" t="inlineStr">
        <is>
          <t>1-10 (Rubric sheet)</t>
        </is>
      </c>
      <c r="E11" s="17" t="inlineStr">
        <is>
          <t>Human / Research agent</t>
        </is>
      </c>
      <c r="F11" s="17" t="inlineStr">
        <is>
          <t>Depth of pain relieved or capability gained per affected user</t>
        </is>
      </c>
    </row>
    <row r="12" ht="14.25" customHeight="1">
      <c r="A12" s="17" t="inlineStr">
        <is>
          <t>I: Business Value</t>
        </is>
      </c>
      <c r="B12" s="17" t="inlineStr">
        <is>
          <t>business_value</t>
        </is>
      </c>
      <c r="C12" s="17" t="inlineStr">
        <is>
          <t>integer</t>
        </is>
      </c>
      <c r="D12" s="17" t="inlineStr">
        <is>
          <t>1-10 (Rubric sheet)</t>
        </is>
      </c>
      <c r="E12" s="17" t="inlineStr">
        <is>
          <t>Human / Research agent</t>
        </is>
      </c>
      <c r="F12" s="17" t="inlineStr">
        <is>
          <t>Revenue, retention, cost, or market-access impact</t>
        </is>
      </c>
    </row>
    <row r="13" ht="26.25" customHeight="1">
      <c r="A13" s="17" t="inlineStr">
        <is>
          <t>J: Strategic Alignment</t>
        </is>
      </c>
      <c r="B13" s="17" t="inlineStr">
        <is>
          <t>strategic_alignment</t>
        </is>
      </c>
      <c r="C13" s="17" t="inlineStr">
        <is>
          <t>integer</t>
        </is>
      </c>
      <c r="D13" s="17" t="inlineStr">
        <is>
          <t>1-10 (Rubric sheet)</t>
        </is>
      </c>
      <c r="E13" s="17" t="inlineStr">
        <is>
          <t>Human</t>
        </is>
      </c>
      <c r="F13" s="17" t="inlineStr">
        <is>
          <t>Fit with product vision; deliberately human-owned Not used in the Defect priority formula (severity fast-track model).</t>
        </is>
      </c>
    </row>
    <row r="14" ht="14.25" customHeight="1">
      <c r="A14" s="17" t="inlineStr">
        <is>
          <t>K: Time Sensitivity</t>
        </is>
      </c>
      <c r="B14" s="17" t="inlineStr">
        <is>
          <t>time_sensitivity</t>
        </is>
      </c>
      <c r="C14" s="17" t="inlineStr">
        <is>
          <t>integer</t>
        </is>
      </c>
      <c r="D14" s="17" t="inlineStr">
        <is>
          <t>1-10 (Rubric sheet)</t>
        </is>
      </c>
      <c r="E14" s="17" t="inlineStr">
        <is>
          <t>Human / Research agent</t>
        </is>
      </c>
      <c r="F14" s="17" t="inlineStr">
        <is>
          <t>Decay of value if shipping is delayed</t>
        </is>
      </c>
    </row>
    <row r="15" ht="39" customHeight="1">
      <c r="A15" s="17" t="inlineStr">
        <is>
          <t>L: Confidence</t>
        </is>
      </c>
      <c r="B15" s="17" t="inlineStr">
        <is>
          <t>confidence</t>
        </is>
      </c>
      <c r="C15" s="17" t="inlineStr">
        <is>
          <t>integer</t>
        </is>
      </c>
      <c r="D15" s="17" t="inlineStr">
        <is>
          <t>1-10 (Rubric sheet)</t>
        </is>
      </c>
      <c r="E15" s="17" t="inlineStr">
        <is>
          <t>Scorer</t>
        </is>
      </c>
      <c r="F15" s="17" t="inlineStr">
        <is>
          <t>Strength of evidence behind the value scores For Defect rows: strength of repro/evidence backing severity and reach; the same Confidence Mult lookup applies.</t>
        </is>
      </c>
    </row>
    <row r="16" ht="26.25" customHeight="1">
      <c r="A16" s="17" t="inlineStr">
        <is>
          <t>M: Effort</t>
        </is>
      </c>
      <c r="B16" s="17" t="inlineStr">
        <is>
          <t>effort</t>
        </is>
      </c>
      <c r="C16" s="17" t="inlineStr">
        <is>
          <t>integer</t>
        </is>
      </c>
      <c r="D16" s="17" t="inlineStr">
        <is>
          <t>1-10 (Rubric sheet)</t>
        </is>
      </c>
      <c r="E16" s="17" t="inlineStr">
        <is>
          <t>Human (engineering)</t>
        </is>
      </c>
      <c r="F16" s="17" t="inlineStr">
        <is>
          <t>Total delivery cost incl. design, QA, maintenance Not used in the Defect priority formula; still collectible for fix-effort planning.</t>
        </is>
      </c>
    </row>
    <row r="17" ht="26.25" customHeight="1">
      <c r="A17" s="17" t="inlineStr">
        <is>
          <t>N: Risk</t>
        </is>
      </c>
      <c r="B17" s="17" t="inlineStr">
        <is>
          <t>risk</t>
        </is>
      </c>
      <c r="C17" s="17" t="inlineStr">
        <is>
          <t>integer</t>
        </is>
      </c>
      <c r="D17" s="17" t="inlineStr">
        <is>
          <t>1-10 (Rubric sheet)</t>
        </is>
      </c>
      <c r="E17" s="17" t="inlineStr">
        <is>
          <t>Human</t>
        </is>
      </c>
      <c r="F17" s="17" t="inlineStr">
        <is>
          <t>Technical/market/reversibility risk Not used in the Defect priority formula; still collectible for regression-risk planning.</t>
        </is>
      </c>
    </row>
    <row r="18" ht="27.75" customHeight="1">
      <c r="A18" s="17" t="inlineStr">
        <is>
          <t>O: Evidence &amp; Sources</t>
        </is>
      </c>
      <c r="B18" s="17" t="inlineStr">
        <is>
          <t>evidence_sources</t>
        </is>
      </c>
      <c r="C18" s="17" t="inlineStr">
        <is>
          <t>string</t>
        </is>
      </c>
      <c r="D18" s="17" t="inlineStr">
        <is>
          <t>Free text; citations required for agent-scored rows</t>
        </is>
      </c>
      <c r="E18" s="17" t="inlineStr">
        <is>
          <t>Scorer</t>
        </is>
      </c>
      <c r="F18" s="17" t="inlineStr">
        <is>
          <t>What the scores are based on; research agents MUST cite sources</t>
        </is>
      </c>
    </row>
    <row r="19" ht="14.25" customHeight="1">
      <c r="A19" s="17" t="inlineStr">
        <is>
          <t>P: Rationale Notes</t>
        </is>
      </c>
      <c r="B19" s="17" t="inlineStr">
        <is>
          <t>rationale_notes</t>
        </is>
      </c>
      <c r="C19" s="17" t="inlineStr">
        <is>
          <t>string</t>
        </is>
      </c>
      <c r="D19" s="17" t="inlineStr">
        <is>
          <t>Free text</t>
        </is>
      </c>
      <c r="E19" s="17" t="inlineStr">
        <is>
          <t>Scorer</t>
        </is>
      </c>
      <c r="F19" s="17" t="inlineStr">
        <is>
          <t>Reasoning behind judgment calls and any dissent</t>
        </is>
      </c>
    </row>
    <row r="20" ht="26.25" customHeight="1">
      <c r="A20" s="17" t="inlineStr">
        <is>
          <t>Q: Weighted Value</t>
        </is>
      </c>
      <c r="B20" s="17" t="inlineStr">
        <is>
          <t>weighted_value</t>
        </is>
      </c>
      <c r="C20" s="17" t="inlineStr">
        <is>
          <t>formula</t>
        </is>
      </c>
      <c r="D20" s="17" t="inlineStr">
        <is>
          <t>0.00-5.00</t>
        </is>
      </c>
      <c r="E20" s="17" t="inlineStr">
        <is>
          <t>Formula - do not edit</t>
        </is>
      </c>
      <c r="F20" s="17" t="inlineStr">
        <is>
          <t>SUMPRODUCT of value dimensions and Config weights Blank for Defect rows (the fast-track model doesn't use it).</t>
        </is>
      </c>
    </row>
    <row r="21" ht="14.25" customHeight="1">
      <c r="A21" s="17" t="inlineStr">
        <is>
          <t>R: Confidence Mult</t>
        </is>
      </c>
      <c r="B21" s="17" t="inlineStr">
        <is>
          <t>confidence_multiplier</t>
        </is>
      </c>
      <c r="C21" s="17" t="inlineStr">
        <is>
          <t>formula</t>
        </is>
      </c>
      <c r="D21" s="17" t="inlineStr">
        <is>
          <t>0.50-1.00</t>
        </is>
      </c>
      <c r="E21" s="17" t="inlineStr">
        <is>
          <t>Formula - do not edit</t>
        </is>
      </c>
      <c r="F21" s="17" t="inlineStr">
        <is>
          <t>Lookup from Config confidence map</t>
        </is>
      </c>
    </row>
    <row r="22" ht="14.25" customHeight="1">
      <c r="A22" s="17" t="inlineStr">
        <is>
          <t>S: Risk Factor</t>
        </is>
      </c>
      <c r="B22" s="17" t="inlineStr">
        <is>
          <t>risk_factor</t>
        </is>
      </c>
      <c r="C22" s="17" t="inlineStr">
        <is>
          <t>formula</t>
        </is>
      </c>
      <c r="D22" s="17" t="inlineStr">
        <is>
          <t>0.60-1.00</t>
        </is>
      </c>
      <c r="E22" s="17" t="inlineStr">
        <is>
          <t>Formula - do not edit</t>
        </is>
      </c>
      <c r="F22" s="17" t="inlineStr">
        <is>
          <t>Lookup from Config risk map</t>
        </is>
      </c>
    </row>
    <row r="23" ht="51.75" customHeight="1">
      <c r="A23" s="17" t="inlineStr">
        <is>
          <t>T: Priority Score</t>
        </is>
      </c>
      <c r="B23" s="17" t="inlineStr">
        <is>
          <t>priority_score</t>
        </is>
      </c>
      <c r="C23" s="17" t="inlineStr">
        <is>
          <t>formula</t>
        </is>
      </c>
      <c r="D23" s="17" t="inlineStr">
        <is>
          <t>0-100</t>
        </is>
      </c>
      <c r="E23" s="17" t="inlineStr">
        <is>
          <t>Formula - do not edit</t>
        </is>
      </c>
      <c r="F23" s="17" t="inlineStr">
        <is>
          <t>Feature rows: MIN(100, Weighted Value x Confidence Mult x Risk Factor / Effort x 20). Defect rows: severity-driven fast-track = Severity base score (Config lookup) x Reach factor (Config lookup) x Confidence Mult, capped at 100 - see Config sheet.</t>
        </is>
      </c>
    </row>
    <row r="24" ht="14.25" customHeight="1">
      <c r="A24" s="17" t="inlineStr">
        <is>
          <t>U: Rank</t>
        </is>
      </c>
      <c r="B24" s="17" t="inlineStr">
        <is>
          <t>rank</t>
        </is>
      </c>
      <c r="C24" s="17" t="inlineStr">
        <is>
          <t>formula</t>
        </is>
      </c>
      <c r="D24" s="17" t="inlineStr">
        <is>
          <t>1-N</t>
        </is>
      </c>
      <c r="E24" s="17" t="inlineStr">
        <is>
          <t>Formula - do not edit</t>
        </is>
      </c>
      <c r="F24" s="17" t="inlineStr">
        <is>
          <t>Descending rank of Priority Score across scored rows</t>
        </is>
      </c>
    </row>
    <row r="25" ht="39" customHeight="1">
      <c r="A25" s="17" t="inlineStr">
        <is>
          <t>V: Item Type</t>
        </is>
      </c>
      <c r="B25" s="17" t="inlineStr">
        <is>
          <t>item_type</t>
        </is>
      </c>
      <c r="C25" s="17" t="inlineStr">
        <is>
          <t>enum</t>
        </is>
      </c>
      <c r="D25" s="17" t="inlineStr">
        <is>
          <t>Feature | Defect</t>
        </is>
      </c>
      <c r="E25" s="17" t="inlineStr">
        <is>
          <t>Human</t>
        </is>
      </c>
      <c r="F25" s="17" t="inlineStr">
        <is>
          <t>Discriminates row type; determines which scoring path applies (weighted-value for Feature, severity fast-track for Defect) and which Status values are valid. Defaults to Feature for legacy rows without this column set.</t>
        </is>
      </c>
    </row>
    <row r="26" ht="26.25" customHeight="1">
      <c r="A26" s="17" t="inlineStr">
        <is>
          <t>W: Defect Source</t>
        </is>
      </c>
      <c r="B26" s="17" t="inlineStr">
        <is>
          <t>defect_source</t>
        </is>
      </c>
      <c r="C26" s="17" t="inlineStr">
        <is>
          <t>enum</t>
        </is>
      </c>
      <c r="D26" s="17" t="inlineStr">
        <is>
          <t>Customer-Reported | Internal</t>
        </is>
      </c>
      <c r="E26" s="17" t="inlineStr">
        <is>
          <t>Human / Support</t>
        </is>
      </c>
      <c r="F26" s="17" t="inlineStr">
        <is>
          <t>Only meaningful when item_type=Defect. How the defect was found; blank for Feature rows.</t>
        </is>
      </c>
    </row>
    <row r="27" ht="51.75" customHeight="1">
      <c r="A27" s="17" t="inlineStr">
        <is>
          <t>X: Severity</t>
        </is>
      </c>
      <c r="B27" s="17" t="inlineStr">
        <is>
          <t>severity</t>
        </is>
      </c>
      <c r="C27" s="17" t="inlineStr">
        <is>
          <t>integer</t>
        </is>
      </c>
      <c r="D27" s="17" t="inlineStr">
        <is>
          <t>1-5 (Rubric sheet)</t>
        </is>
      </c>
      <c r="E27" s="17" t="inlineStr">
        <is>
          <t>Human (triage)</t>
        </is>
      </c>
      <c r="F27" s="17" t="inlineStr">
        <is>
          <t>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2026-07-05T22:54:23Z</dcterms:created>
  <dcterms:modified xmlns:dcterms="http://purl.org/dc/terms/" xmlns:xsi="http://www.w3.org/2001/XMLSchema-instance" xsi:type="dcterms:W3CDTF">2026-07-20T04:41:40Z</dcterms:modified>
  <cp:lastModifiedBy>Derek MacKie</cp:lastModifiedBy>
  <cp:revision>0</cp:revision>
</cp:coreProperties>
</file>