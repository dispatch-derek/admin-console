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Config" sheetId="2" state="visible" r:id="rId4"/>
    <sheet name="Rubric" sheetId="3" state="visible" r:id="rId5"/>
    <sheet name="Scoring" sheetId="4" state="visible" r:id="rId6"/>
    <sheet name="Data Dictionar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<sst xmlns="http://schemas.openxmlformats.org/spreadsheetml/2006/main" count="477" uniqueCount="368">
  <si>
    <t xml:space="preserve">FEATURE VALUE SCORING FRAMEWORK</t>
  </si>
  <si>
    <t xml:space="preserve">Purpose: a shared scoring surface completed by humans and/or a market research agent, then consumed by feature prioritization agents. Also tracks customer-reported defects and internally-found bugs (Item Type = Defect) alongside new-feature ideas, so both compete in one ranked backlog.</t>
  </si>
  <si>
    <t xml:space="preserve">HOW TO USE</t>
  </si>
  <si>
    <t xml:space="preserve">1. Add one row per feature idea on the Scoring sheet. Feature ID and Name are required; link the feature brief in the Brief Reference column.</t>
  </si>
  <si>
    <t xml:space="preserve">2. For Feature rows: score the eight input dimensions (columns G-N) on a 1-10 scale using the anchors on the Rubric sheet. For Defect rows: set Item Type (V), Defect Source (W), and Severity (X) instead - see the DEFECTS &amp; BUGS section below.</t>
  </si>
  <si>
    <t xml:space="preserve">3. Record evidence sources and rationale (columns O-P). Agents must cite sources; humans should note the basis for judgment calls.</t>
  </si>
  <si>
    <t xml:space="preserve">4. Columns Q-U calculate automatically. Do not type into them.</t>
  </si>
  <si>
    <t xml:space="preserve">5. Adjust dimension weights on the Config sheet to match product strategy. Weights must sum to 100% (checked in Config!B9).</t>
  </si>
  <si>
    <t xml:space="preserve">SCORING MODEL</t>
  </si>
  <si>
    <t xml:space="preserve">Weighted Value = SUM(dimension score x weight) across Reach, User Value, Business Value, Strategic Alignment, Time Sensitivity.</t>
  </si>
  <si>
    <t xml:space="preserve">Priority Score (0-100) = MIN(100, Weighted Value x Confidence Multiplier x Risk Factor / Effort x 20). The cap only binds for very low effort (1 = hours-to-a-day on the 10-pt scale).</t>
  </si>
  <si>
    <t xml:space="preserve">Confidence and Risk map to multipliers via lookup tables on the Config sheet, so a low-confidence or high-risk idea is discounted rather than excluded.</t>
  </si>
  <si>
    <t xml:space="preserve">FOR AGENTS (machine-readable contract)</t>
  </si>
  <si>
    <t xml:space="preserve">The Data Dictionary sheet defines every field: stable field_id, type, allowed values, and which actor (human / research agent / formula) owns it.</t>
  </si>
  <si>
    <t xml:space="preserve">Market research agents fill only INPUT fields and must populate evidence_sources. Prioritization agents read OUTPUT fields and must not overwrite formulas.</t>
  </si>
  <si>
    <t xml:space="preserve">Rows 4-7 of the Scoring sheet contain worked Feature examples; row 8 is a worked Defect example. Clear or overwrite them with real data.</t>
  </si>
  <si>
    <t xml:space="preserve">DEFECTS &amp; BUGS</t>
  </si>
  <si>
    <t xml:space="preserve">1. Log a defect or bug as its own row on the Scoring sheet: Item Type (column V) = Defect, Defect Source (W) = Customer-Reported or Internal, Severity (X, still 1-5, see Rubric) instead of the eight feature dimensions.</t>
  </si>
  <si>
    <t xml:space="preserve">2. Defects use a severity-driven fast-track priority formula (Config sheet): Severity base score x Reach factor x Confidence multiplier, capped at 100. It bypasses Weighted Value, Strategic Alignment, and the Effort divisor entirely - see Priority Score in the Data Dictionary.</t>
  </si>
  <si>
    <t xml:space="preserve">3. Reach (G) and Confidence (L) are still scored for defects using the same Rubric anchors, reinterpreted: Reach = share of customers who hit the bug; Confidence = strength of the repro/evidence behind Severity and Reach.</t>
  </si>
  <si>
    <t xml:space="preserve">4. Effort (M) and Risk (N) are optional for Defect rows - useful for fix-effort and regression-risk planning, but not part of the Defect priority formula.</t>
  </si>
  <si>
    <t xml:space="preserve">5. Status lifecycle differs by Item Type - see the Data Dictionary Status row for the full enum and which subset applies to Feature vs Defect rows.</t>
  </si>
  <si>
    <t xml:space="preserve">6. Once a Defect row is Scored or Prioritized, run /fix-defect-or-bug &lt;feature_id&gt; to dispatch the fix pipeline (reproduce, fail a regression test, fix, verify, review).</t>
  </si>
  <si>
    <t xml:space="preserve">CONFIGURATION - dimension weights and multiplier maps</t>
  </si>
  <si>
    <t xml:space="preserve">Value Dimension Weights (must sum to 100%)</t>
  </si>
  <si>
    <t xml:space="preserve">Reach</t>
  </si>
  <si>
    <t xml:space="preserve">User Value</t>
  </si>
  <si>
    <t xml:space="preserve">Business Value</t>
  </si>
  <si>
    <t xml:space="preserve">Strategic Alignment</t>
  </si>
  <si>
    <t xml:space="preserve">Time Sensitivity</t>
  </si>
  <si>
    <t xml:space="preserve">Weight check</t>
  </si>
  <si>
    <t xml:space="preserve">Confidence Multiplier Map</t>
  </si>
  <si>
    <t xml:space="preserve">Risk Factor Map</t>
  </si>
  <si>
    <t xml:space="preserve">Defect Severity -&gt; Priority Base Map</t>
  </si>
  <si>
    <t xml:space="preserve">Defect Reach -&gt; Multiplier Map</t>
  </si>
  <si>
    <t xml:space="preserve">Confidence score (1-10) -&gt; multiplier applied to Weighted Value (RICE-style discount for weak evidence). Even keys carry the pre-2026-07 5-pt map values (old score x2 = same multiplier).</t>
  </si>
  <si>
    <t xml:space="preserve">Risk score (1-10) -&gt; factor applied to Weighted Value (higher risk = larger discount). Even keys carry the pre-2026-07 5-pt map values.</t>
  </si>
  <si>
    <t xml:space="preserve">Defect severity (still 1-5; industry Sev alignment) -&gt; base priority-score map (severity fast-track model; bypasses weighted_value, strategic_alignment, and effort entirely).</t>
  </si>
  <si>
    <t xml:space="preserve">Defect reach (1-10) -&gt; small multiplier (customer breadth is secondary to severity in the fast-track model, unlike the Feature formula where it's a primary weighted dimension).</t>
  </si>
  <si>
    <t xml:space="preserve">defect_priority_score = MIN(100, ROUND(severity_base x reach_factor x confidence_mult, 1)). confidence_mult is the same lookup used by the Feature formula (Confidence Multiplier Map above).</t>
  </si>
  <si>
    <t xml:space="preserve">SCORING RUBRIC - anchors for each 1-10 dimension (even scores = the pre-2026-07 5-pt anchors; Severity stays 1-5)</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</si>
  <si>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</si>
  <si>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</si>
  <si>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</si>
  <si>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</si>
  <si>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</si>
  <si>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</si>
  <si>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</si>
  <si>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</si>
  <si>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</si>
  <si>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</si>
  <si>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Dimension</t>
  </si>
  <si>
    <t xml:space="preserve">Touches &lt;3% of target users; rare edge case</t>
  </si>
  <si>
    <t xml:space="preserve">Touches &lt;5% of target users or a rare edge case</t>
  </si>
  <si>
    <t xml:space="preserve">Touches 5-10% of users, infrequent use</t>
  </si>
  <si>
    <t xml:space="preserve">Touches 5-15% of users, or infrequent use</t>
  </si>
  <si>
    <t xml:space="preserve">Touches 15-25% of users with regular use</t>
  </si>
  <si>
    <t xml:space="preserve">Touches 15-40% of users with regular use</t>
  </si>
  <si>
    <t xml:space="preserve">Touches 40-55% of users frequently</t>
  </si>
  <si>
    <t xml:space="preserve">Touches 40-70% of users frequently</t>
  </si>
  <si>
    <t xml:space="preserve">Touches 70-85% of users in daily workflows</t>
  </si>
  <si>
    <t xml:space="preserve">Touches &gt;70% of users in core daily workflows</t>
  </si>
  <si>
    <t xml:space="preserve">Purely cosmetic; no user would notice its absence</t>
  </si>
  <si>
    <t xml:space="preserve">Cosmetic; no measurable pain relieved</t>
  </si>
  <si>
    <t xml:space="preserve">Minor convenience; trivial workaround</t>
  </si>
  <si>
    <t xml:space="preserve">Minor convenience; mild pain, easy workaround exists</t>
  </si>
  <si>
    <t xml:space="preserve">Real pain, but the workaround is tolerable</t>
  </si>
  <si>
    <t xml:space="preserve">Solves a real pain with a clumsy workaround today</t>
  </si>
  <si>
    <t xml:space="preserve">Frequent pain; workaround is costly or error-prone</t>
  </si>
  <si>
    <t xml:space="preserve">Removes a frequent, significant pain point</t>
  </si>
  <si>
    <t xml:space="preserve">Near top-tier pain, or partially unlocks a new job-to-be-done</t>
  </si>
  <si>
    <t xml:space="preserve">Eliminates a top-3 user pain or unlocks a new job-to-be-done</t>
  </si>
  <si>
    <t xml:space="preserve">No conceivable business effect</t>
  </si>
  <si>
    <t xml:space="preserve">No plausible revenue/retention/cost effect</t>
  </si>
  <si>
    <t xml:space="preserve">Marginal, hard-to-attribute effect</t>
  </si>
  <si>
    <t xml:space="preserve">Indirect or small effect on a business metric</t>
  </si>
  <si>
    <t xml:space="preserve">Measurable effect on a secondary metric</t>
  </si>
  <si>
    <t xml:space="preserve">Measurable effect on conversion, retention, or cost</t>
  </si>
  <si>
    <t xml:space="preserve">Clear contributor to a core business metric</t>
  </si>
  <si>
    <t xml:space="preserve">Clear driver of revenue, expansion, or churn reduction</t>
  </si>
  <si>
    <t xml:space="preserve">Materially shifts a top-line metric or defends key revenue</t>
  </si>
  <si>
    <t xml:space="preserve">Opens a new segment/market or defends a major revenue stream</t>
  </si>
  <si>
    <t xml:space="preserve">Actively works against the product strategy</t>
  </si>
  <si>
    <t xml:space="preserve">Contradicts stated product strategy</t>
  </si>
  <si>
    <t xml:space="preserve">Orthogonal to strategy; slight tension</t>
  </si>
  <si>
    <t xml:space="preserve">Unrelated to strategy; opportunistic</t>
  </si>
  <si>
    <t xml:space="preserve">Tangentially related to a strategic theme</t>
  </si>
  <si>
    <t xml:space="preserve">Loosely supports a strategic theme</t>
  </si>
  <si>
    <t xml:space="preserve">Clearly supports a strategic theme</t>
  </si>
  <si>
    <t xml:space="preserve">Directly advances a current strategic pillar</t>
  </si>
  <si>
    <t xml:space="preserve">Key enabler of a strategic pillar</t>
  </si>
  <si>
    <t xml:space="preserve">Critical-path item for the product vision</t>
  </si>
  <si>
    <t xml:space="preserve">No pressure; waiting costs nothing or value grows</t>
  </si>
  <si>
    <t xml:space="preserve">No time pressure; value stable indefinitely</t>
  </si>
  <si>
    <t xml:space="preserve">Value decays very slowly (multi-year horizon)</t>
  </si>
  <si>
    <t xml:space="preserve">Value decays slowly over years</t>
  </si>
  <si>
    <t xml:space="preserve">Advantage to shipping within ~18 months</t>
  </si>
  <si>
    <t xml:space="preserve">Meaningful advantage to shipping this year</t>
  </si>
  <si>
    <t xml:space="preserve">Competitive/market window within 3 quarters</t>
  </si>
  <si>
    <t xml:space="preserve">Competitive/market window within 2 quarters</t>
  </si>
  <si>
    <t xml:space="preserve">Window within 1 quarter</t>
  </si>
  <si>
    <t xml:space="preserve">Hard deadline (regulation, contract, event) or closing window</t>
  </si>
  <si>
    <t xml:space="preserve">Confidence</t>
  </si>
  <si>
    <t xml:space="preserve">Guesswork; assumptions untested, no evidence sought</t>
  </si>
  <si>
    <t xml:space="preserve">Pure speculation; no supporting evidence</t>
  </si>
  <si>
    <t xml:space="preserve">A single anecdote</t>
  </si>
  <si>
    <t xml:space="preserve">Anecdotes or a single data point</t>
  </si>
  <si>
    <t xml:space="preserve">Multiple converging anecdotes; thin data</t>
  </si>
  <si>
    <t xml:space="preserve">Directional data: some interviews, analogous benchmarks</t>
  </si>
  <si>
    <t xml:space="preserve">Good data with known gaps</t>
  </si>
  <si>
    <t xml:space="preserve">Solid data: surveys, usage analytics, competitor evidence</t>
  </si>
  <si>
    <t xml:space="preserve">Strong multi-source data; small residual unknowns</t>
  </si>
  <si>
    <t xml:space="preserve">Validated: experiments, pilots, or committed customer demand</t>
  </si>
  <si>
    <t xml:space="preserve">Effort</t>
  </si>
  <si>
    <t xml:space="preserve">Hours to a day; trivial change</t>
  </si>
  <si>
    <t xml:space="preserve">Days; single dev, no design or new infra</t>
  </si>
  <si>
    <t xml:space="preserve">About a week; single dev</t>
  </si>
  <si>
    <t xml:space="preserve">1-2 weeks; small change, minimal coordination</t>
  </si>
  <si>
    <t xml:space="preserve">2-3 weeks; light cross-discipline coordination</t>
  </si>
  <si>
    <t xml:space="preserve">3-6 weeks; multi-discipline, some unknowns</t>
  </si>
  <si>
    <t xml:space="preserve">6-10 weeks; significant unknowns</t>
  </si>
  <si>
    <t xml:space="preserve">1-2 quarters; significant architecture or integration work</t>
  </si>
  <si>
    <t xml:space="preserve">2-3 quarters; major cross-team program</t>
  </si>
  <si>
    <t xml:space="preserve">&gt;3 quarters; major platform work or new subsystem</t>
  </si>
  <si>
    <t xml:space="preserve">Risk</t>
  </si>
  <si>
    <t xml:space="preserve">Fully understood; trivially reversible</t>
  </si>
  <si>
    <t xml:space="preserve">Well-understood; easily reversible</t>
  </si>
  <si>
    <t xml:space="preserve">Small unknowns; cheap to reverse</t>
  </si>
  <si>
    <t xml:space="preserve">Minor unknowns; reversible with modest cost</t>
  </si>
  <si>
    <t xml:space="preserve">Moderate unknowns or a soft third-party dependency</t>
  </si>
  <si>
    <t xml:space="preserve">Some technical/market unknowns or third-party dependency</t>
  </si>
  <si>
    <t xml:space="preserve">Multiple unknowns; reversal is painful</t>
  </si>
  <si>
    <t xml:space="preserve">Hard-to-reverse decision or fragile dependencies</t>
  </si>
  <si>
    <t xml:space="preserve">Effectively one-way without major cost</t>
  </si>
  <si>
    <t xml:space="preserve">One-way door: public API, data model, pricing, or compliance exposure</t>
  </si>
  <si>
    <t xml:space="preserve">Severity (Defect rows only)</t>
  </si>
  <si>
    <t xml:space="preserve">Cosmetic; no functional impact, no workaround needed</t>
  </si>
  <si>
    <t xml:space="preserve">Minor; workaround exists, low friction (industry Sev4)</t>
  </si>
  <si>
    <t xml:space="preserve">Moderate; feature degraded or blocked with a workaround (industry Sev3)</t>
  </si>
  <si>
    <t xml:space="preserve">Major; feature unusable, no reasonable workaround, no data loss (industry Sev2)</t>
  </si>
  <si>
    <t xml:space="preserve">Critical; data loss, security exposure, or outage blocking core workflows (industry Sev1)</t>
  </si>
  <si>
    <t xml:space="preserve">Severity stays on a 1-5 scale (industry Sev4...Sev1 alignment); columns 6-10 do not apply.</t>
  </si>
  <si>
    <t xml:space="preserve">FEATURE VALUE SCORING</t>
  </si>
  <si>
    <t xml:space="preserve">Blue columns = inputs (human or research agent). Grey columns = calculated; do not edit. Anchors: see Rubric sheet. Item Type (V) selects the scoring path: Feature uses the weighted-value formula (Q-U); Defect uses the severity fast-track formula (see Config sheet), leaving Weighted Value (Q) blank.</t>
  </si>
  <si>
    <t xml:space="preserve">Feature ID</t>
  </si>
  <si>
    <t xml:space="preserve">Feature Name</t>
  </si>
  <si>
    <t xml:space="preserve">Brief Reference</t>
  </si>
  <si>
    <t xml:space="preserve">Status</t>
  </si>
  <si>
    <t xml:space="preserve">Scored By</t>
  </si>
  <si>
    <t xml:space="preserve">Date Scored</t>
  </si>
  <si>
    <t xml:space="preserve">Reach (1-10)</t>
  </si>
  <si>
    <t xml:space="preserve">User Value (1-10)</t>
  </si>
  <si>
    <t xml:space="preserve">Business Value (1-10)</t>
  </si>
  <si>
    <t xml:space="preserve">Strategic Alignment (1-10)</t>
  </si>
  <si>
    <t xml:space="preserve">Time Sensitivity (1-10)</t>
  </si>
  <si>
    <t xml:space="preserve">Confidence (1-10)</t>
  </si>
  <si>
    <t xml:space="preserve">Effort (1-10)</t>
  </si>
  <si>
    <t xml:space="preserve">Risk (1-10)</t>
  </si>
  <si>
    <t xml:space="preserve">Evidence &amp; Sources</t>
  </si>
  <si>
    <t xml:space="preserve">Rationale Notes</t>
  </si>
  <si>
    <t xml:space="preserve">Weighted Value</t>
  </si>
  <si>
    <t xml:space="preserve">Confidence Mult</t>
  </si>
  <si>
    <t xml:space="preserve">Risk Factor</t>
  </si>
  <si>
    <t xml:space="preserve">Priority Score (0-100)</t>
  </si>
  <si>
    <t xml:space="preserve">Rank</t>
  </si>
  <si>
    <t xml:space="preserve">Item Type</t>
  </si>
  <si>
    <t xml:space="preserve">Defect Source</t>
  </si>
  <si>
    <t xml:space="preserve">Severity (1-5)</t>
  </si>
  <si>
    <t xml:space="preserve">F-001</t>
  </si>
  <si>
    <t xml:space="preserve">Adhere to a Design System</t>
  </si>
  <si>
    <t xml:space="preserve">briefs/F-001-adhere-to-design-system.md</t>
  </si>
  <si>
    <t xml:space="preserve">Prioritized</t>
  </si>
  <si>
    <t xml:space="preserve">Market Research Agent</t>
  </si>
  <si>
    <t xml:space="preserve">VERIFIED IN-REPO (2026-07-07): Read briefs/F-001-adhere-to-design-system.md and confirmed every current-state baseline claim exactly against source: web/src/index.css = 723 lines with 30 CSS custom-property definitions and dual theming (:root dark default + [data-theme='light'] + @media prefers-color-scheme:light); exactly 143 className= usages across 22 .tsx files; five independent feature areas (diagnostics, raweditor, settings, users, workspaces under web/src/features/); exactly three shared components (DangerConfirm, ErrorBanner, SetNotSetBadge in web/src/components/). ANALOGOUS INDUSTRY BENCHMARKS (WebSearch 2026-07-07, general-category / low project-specificity): Sparkbox "Value of Design Systems" (dev efficiency ~47%), Figma internal (34% faster task completion with system), Atlassian (up to 65% dev-time reduction), and ROI syntheses (lollypop.design, netguru, Smashing Magazine 2022) citing 135-170% 5-yr ROI and ~34% of dev cycles spent recreating components. COULD NOT VERIFY: Claude Design project at https://claude.ai/design/p/4c97b85d-5482-401b-b1b3-12df2a9d8d66 returned HTTP 403 (auth-gated) - its actual contents (tokens vs. full component set, light+dark coverage, mapping to console patterns) remain unverified; claude_design MCP re-import/sync cadence unverified. NO PROJECT-SPECIFIC DEMAND EVIDENCE: per the environment limitation, no support-ticket system, operator interviews, or usage-analytics dashboard exists for this internal tool - operator pain and payoff magnitude are unmeasured. Internal operator base size unconfirmed; October 2026 GTM hard-vs-soft status unconfirmed.</t>
  </si>
  <si>
    <t xml:space="preserve">REACH=5 - the console is a staff-only operator tool where the target-user population IS the internal operator base; every operator works across all five feature areas and is exposed to the governing design system on essentially every session (&gt;70% of target users in core daily workflows). Small absolute audience does not lower the target-population fraction, which the anchor measures. USER_VALUE=2 - scored for the actual users (operators), not developers. Visual/interaction inconsistency is a coherence/cosmetic issue with an easy workaround (operators complete their jobs on the current surface); there is zero evidence of measurable operator task-pain (no tickets/interviews/analytics). Honestly minor convenience, not removal of a frequent significant pain - resisting the temptation to score the developer/maintenance benefit here (that belongs to business_value). BUSINESS_VALUE=3 - the credible payoff is a cost/velocity play (reusable tokens+components lowering per-screen build/change cost and styling-maintenance churn), which the anchor rates as a measurable effect on cost. Analogous benchmarks support a real cost/velocity effect, so this clears 2; but it is NOT a revenue/expansion/churn driver (internal, non-customer-facing tool) so it does not reach 4, and the absolute cost base is small (5 areas, 3 shared components, 723-line CSS). Landed at the low end of 3. TIME_SENSITIVITY=3 - October 2026 GTM is ~3 months out and the retrofit surface compounds with every ad-hoc screen shipped before adoption, giving a meaningful advantage to shipping this year (anchor 3). Withheld 4 (references a competitive/market window, whereas this is internal-readiness, and the GTM is an unconfirmed soft target); withheld 5 (no confirmed hard gate). CONFIDENCE=2 - the current-state baseline is fully verified and there are multiple dated analogous benchmarks, but the two most value-determining legs lack project-specific evidence: (a) operator pain (user_value) rests on codebase observation + conviction with no tickets/interviews/analytics, and (b) payoff magnitude for THIS small console rests only on general-category benchmarks the brief itself flags as low-specificity. The design system to be adopted could not be inspected (403). Per the no-inflation rule, honest value + confidence=2 is the correct encoding; did not round up to 3 because the benchmarks argue the category, not this tool. [scale-migration 2026-07-11] input scores remapped x2 (5-pt -&gt; 10-pt migration); severity unchanged (1-5)</t>
  </si>
  <si>
    <t xml:space="preserve">Feature</t>
  </si>
  <si>
    <t xml:space="preserve">F-002</t>
  </si>
  <si>
    <t xml:space="preserve">Set a customer specific system prompt</t>
  </si>
  <si>
    <t xml:space="preserve">briefs/F-002-customer-system-prompt.md</t>
  </si>
  <si>
    <t xml:space="preserve">2026-07-07</t>
  </si>
  <si>
    <t xml:space="preserve">VERIFIED INTERNAL (repo read 2026-07-07): (1) web/src/features/workspaces/WorkspaceSettings.tsx lines 347-354 - the per-workspace "System prompt (blank = inherit)" textarea exists today; there is no above-workspace scope, confirming the "no baseline mechanism" problem statement. (2) bff/src/engine/mappers.ts lines 64-82 (WORKSPACE_FIELD_MAP) - systemPrompt maps 1:1 to a single engine field openAiPrompt; there is literally one prompt field per workspace and no native base+workspace layering, confirming the brief's central open question that a tamper-proof/enforced baseline is NOT achievable through this channel. (3) docs/anythingllm-surface.md lines 197-234 - confirms /system/default-system-prompt (native instance-level default) is session-auth-only and a "hard boundary at the API layer," unreachable under the console's API-key custody model; the console-managed fan-out route is the only option. All three brief leads re-verified as accurate. ANALOGOUS EXTERNAL (WebSearch 2026-07-07, directional only): Technavio - Enterprise Prompt Management Platforms market +USD 2.44B 2026-2030 at 32.5% CAGR; Gartner-cited AI-governance-platform spend ~USD 492M in 2026 rising past USD 1B by 2030; market shifting toward structured prompt governance and centralized control. These establish that centralized prompt/guardrail governance is a real, growing enterprise need. COUNTER-EVIDENCE: industry best-practice for real enforcement is a gateway-plus-guardrails architecture (policy enforced OUTSIDE the model call), not single-prompt-field storage (Galileo/Maxim/CSA 2025-2026) - corroborating that F-002's single-field approach is best-effort, not true enforcement. COULD NOT VERIFY: no support-ticket system, sales CRM, or usage-analytics dashboard exists for this internal tool, so zero direct demand signal for THIS feature; the brief itself states no discovery scan was run. Workspaces-per-customer count (bounds reach/effort) is unverifiable - an open question in the brief. The "governance as a selling point" business claim is entirely unverified against any sales evidence.</t>
  </si>
  <si>
    <t xml:space="preserve">REACH (3): Scored against the STAFF OPERATORS who configure the feature (the console is staff-only per surface doc; customers never touch it), not the end-user chat population whose experience the prompt shapes. Absolute operator headcount is small and the config action is infrequent/high-leverage, but establishing a baseline persona/guardrail is a task essentially every customer onboarding would touch - "regular use" within the operator setup workflow, landing at the 15-40% regular-use anchor. Note: if scored against the effect population (every end-user chat across all workspaces) it would be 5; deliberately not, because the anchor measures the feature's USERS and this is a configuration control. USER_VALUE (3): The workaround exists today and is clumsy - manually re-typing the same baseline into each workspace's systemPrompt textarea and policing drift by hand (verified the textarea is the only mechanism). F-002 removes that clumsiness = solid 3. Not 4 because (a) pain frequency scales with workspaces-per-customer, which is unknown, and (b) the "safety guardrail" job-to-be-done is only partially delivered - the verified single-field engine model means the baseline can be silently clobbered by a per-workspace edit, so the strongest value claim (an enforced guardrail) is not realizable through this channel. BUSINESS_VALUE (2): Internal operator tool; revenue/retention effect is indirect. Industry data shows governance is a growing differentiator, but there is no CRM/sales evidence customers ask for it (brief admits this), and the enforcement gap weakens the "governance selling point." Indirect/small effect = 2, not 3, because a measurable conversion/retention effect is asserted, not evidenced. TIME_SENSITIVITY (3): October 2026 GTM is ~3 months out but a SOFT internal readiness target, not a hard external deadline (no regulation/contract binds this feature), so not 4 or 5. The genuine pressure is the compounding-retrofit argument (prompts set before this exists must be retrofitted later) - real but modest. "Meaningful advantage to shipping this year" = 3. CONFIDENCE (2): Structural/feasibility facts are strongly verified in-repo, but every VALUE score rests on reasoning plus analogous industry benchmarks, not on any direct demand data for this feature - inaccessible by environment constraint and ungathered by admission. Per the cap rule and honest thinness, confidence is 2 (single-data-point/analogous-anecdote tier), not 3. [scale-migration 2026-07-11] input scores remapped x2 (5-pt -&gt; 10-pt migration); severity unchanged (1-5)  ||  [Human ruling 2026-07-13, resolves strategic-alignment flag] BUNDLED with F-003: rank as one sequenced initiative (F-002 first, then F-003), not two independent items. Take/defer the bundle as a unit at the bundle's position.</t>
  </si>
  <si>
    <t xml:space="preserve">F-003</t>
  </si>
  <si>
    <t xml:space="preserve">Set a workspace level system prompt</t>
  </si>
  <si>
    <t xml:space="preserve">briefs/F-003-workspace-system-prompt.md</t>
  </si>
  <si>
    <t xml:space="preserve">Re-verified in-repo 2026-07-07: web/src/features/workspaces/WorkspaceSettings.tsx ~347-354 (lone 'System prompt (blank=inherit)' textarea); bff/src/engine/mappers.ts:74,104 + engine-types.ts:17,41 (systemPrompt-&gt;single engine openAiPrompt, no native layering); docs/anythingllm-surface.md:58,214,216 (one prompt field; native Default System Prompt/Prompt Variables session-auth = out-of-scope holds); specs/F-002-customer-system-prompt.md (baseline+sentinel/remainder/drift model, reserves per-workspace prompting for F-003; F-002 spec exists but not yet built); DangerConfirm.tsx/ErrorBanner.tsx exist; REQ-098 specs/admin-console.md:966. Rubric sheet3. No support/CRM/analytics or discovery-scan signal (internal tool).</t>
  </si>
  <si>
    <t xml:space="preserve">reach=3 (&lt;25 staff operators; workspace-prompt config regular but infrequent, per F-002 logic); user_value=3 (removes clumsy manual baseline/workspace reconciliation on one opaque field, but pain contingent on unbuilt F-002 and unmeasured); business_value=2 (internal tool, indirect governance-completeness value, no sales evidence); time_sensitivity=3 (soft Oct-2026 GTM, compounding retrofit, no hard deadline); confidence=2 (structural facts verified in-repo but all value scores rest on conviction, no demand data/benchmark, plus F-002 dependency). [scale-migration 2026-07-11] input scores remapped x2 (5-pt -&gt; 10-pt migration); severity unchanged (1-5)  ||  [Human ruling 2026-07-13, resolves strategic-alignment flag] BUNDLED with F-002: rank as one sequenced initiative (F-002 baseline model first, then F-003), not two independent items. Take/defer the bundle as a unit at the bundle's position.</t>
  </si>
  <si>
    <t xml:space="preserve">F-004</t>
  </si>
  <si>
    <t xml:space="preserve">Implement a proper production ready eventbus to replace the inproc bus currently in use</t>
  </si>
  <si>
    <t xml:space="preserve">briefs/F-004-production-event-bus.md</t>
  </si>
  <si>
    <t xml:space="preserve">Implemented</t>
  </si>
  <si>
    <t xml:space="preserve">bff/src/config.ts:50 (inproc default); bff/src/events/bus.ts:16-34 (InProcessBus default + OutboxRelayBus enqueue-only stub, 'later slice' comment); bff/src/store/repositories/outbox.repo.ts:34 listUnpublished has zero callers (no drain worker); grep: no .emitter.on / getEventBus consumers = zero subscribers; bff/src/events/catalog.ts + emitter.ts (contract built); docs/design/04-cross-cutting.md:74-76 &amp; 06-risks.md:70 (relay deferred/open); specs/admin-console.md REQ-029; no incident/demand/analytics signal in-repo.</t>
  </si>
  <si>
    <t xml:space="preserve">[Human] A robust stable reliable eventbus is needed for actual customer use and I may as well be developing on a real eventbus as soon as possible.  ||  [Research 2026-07-07] reach=4 (delivery backbone for the entire admin.* event spine (17 event types, core cross-cutting) but consumer population latent/empty today so not 5); user_value=4 (unlocks a currently-impossible JTBD: durable cross-process at-least-once delivery + audit reliability, held below 5 since no consumer verified waiting); business_value=3 (production-readiness/compliance + tech-debt avoidance, no evidenced revenue/churn driver, internal infra); time_sensitivity=3 (GTM-linked ~3mo window but inproc is deployable and no consumer proven blocked); confidence=2 (structural gap validated with file:line citations but value/demand/urgency rest on conviction, zero usage/incident/demand evidence). [scale-migration 2026-07-11] input scores remapped x2 (5-pt -&gt; 10-pt migration); severity unchanged (1-5)  ||  [Human ruling 2026-07-13, resolves strategic-alignment flag] TOP PRIORITY override: rank-7 formula placement is overridden due to architectural significance — all features with strategic importance must build on this eventbus, so it precedes them in implementation order regardless of its effort-divided score. Scores left honest/unchanged; override lives here and in the run report. [implement-spec 2026-07-19] implemented per specs/F-004-production-event-bus.md (rev 11); branch feat/f-004-event-bus-delivery; full suite green (bff 1229, e2e relay 11, tsc clean). Pipeline: architect+migration+qa+impl; qa/unit/e2e verification; security PASS-WITH-NOTES + code-review BLOCK cleared; perf FAIL fixed (eligibility query O(backlog)); refactor+docs. Follow-up: D-006 peer auth (GH #16); deploy notes F3 (/ready bind) / F4 (SSRF allowlist).</t>
  </si>
  <si>
    <t xml:space="preserve">D-001</t>
  </si>
  <si>
    <t xml:space="preserve">The color of the background for each providers expandable panel in the LLM settings does not provide enough contrast to make the actual fields the user has to enter data into impossible to see. The panel background colors should be a lighter grey color that aligns with the colors in the design system.</t>
  </si>
  <si>
    <t xml:space="preserve">https://github.com/dispatch-derek/admin-console/issues/5</t>
  </si>
  <si>
    <t xml:space="preserve">Hybrid</t>
  </si>
  <si>
    <t xml:space="preserve">GitHub issue #5 (dispatch-derek/admin-console), fetched via gh issue view — title 'UI Panels backgrounds do not provide enough contrast against the black background to make the data entry fields visible to the user'; body confirms fields invisible except on focus; Open, no comments/screenshots/second reporter. Code inspection: web/src/design-system/tokens/colors.css lines 40-43,56 — dark theme (default) sets --theme-bg-primary, --theme-bg-container, and --theme-settings-input-bg to the identical #0e0f0f; web/src/index.css lines 13-28,340-386 confirm panel body has no background override so it inherits page bg; web/src/design-system/components/Field.module.css lines 15-32 confirm shared .control class (every Input/Select/Textarea) has border:none and only gains a visible outline on :focus -- matches reported symptom exactly. [data-theme=light] block (colors.css lines 82-118) shows light theme is unaffected (--theme-settings-input-bg #edf2fa vs --theme-bg-container #f9fbfd, clear contrast). web/src/features/settings/SettingsPage.tsx lines 284-350 confirms provider groups render generically with no per-provider styling branch -&gt; affects all ~30+ providers and all provider-group screens (LLM, embedding, vector DB, TTS, STT) uniformly, not just 'LLM settings' as the ticket title implies. docs/anythingllm-surface.md sec2 confirms provider config is an admin-console-exclusive, instance-wide function every operator must pass through at least once during provisioning/reconfiguration, but is a setup screen, not a daily-use screen.</t>
  </si>
  <si>
    <t xml:space="preserve">Reach revised 5-&gt;4: defect is a shared-token collision affecting 100% of provider panels/fields uniformly in dark theme (the default), so nearly every operator opening any expandable settings panel without switching to light theme hits it on every field -- but per rubric, reach=5 requires &gt;70% of users in CORE DAILY workflows, and this is a periodic setup/reconfiguration screen, not daily-use, so 4 ('40-70% frequently') fits better than 5. True reach is also bounded by the unmeasured dark-vs-light theme split across instances (dark is default, likely majority, but unconfirmed by analytics). Confidence=4: not speculation or a single anecdote -- traced the exact mechanism in source (identical hex tokens, border:none, no panel bg override), concrete and reproducible-from-code, consistent with the issue's stated symptoms. Capped below 5 because there is no committed/live reproduction (screenshot, second reporter, test) beyond the original reporter's unconfirmed issue and this code trace. [scale-migration 2026-07-11] input scores remapped x2 (5-pt -&gt; 10-pt migration); severity unchanged (1-5)</t>
  </si>
  <si>
    <t xml:space="preserve">Defect</t>
  </si>
  <si>
    <t xml:space="preserve">Internal</t>
  </si>
  <si>
    <t xml:space="preserve">F-005</t>
  </si>
  <si>
    <t xml:space="preserve">Per-Customer Feature Toggle Console</t>
  </si>
  <si>
    <t xml:space="preserve">briefs/F-005-per-customer-feature-toggle-console.md</t>
  </si>
  <si>
    <t xml:space="preserve">Primary: briefs/F-005-per-customer-feature-toggle-console.md (Affected Users, Problem, Business Rationale, Timing, Existing Evidence sections) — brief explicitly states no usage/ticket evidence exists yet (product unshipped); reach/user_value/time_sensitivity based on brief's internal narrative only. Secondary (analogous, not company-specific): WebSearch 2026-07-11 'feature flag entitlement system usage-based billing prerequisite ROI benchmark' — Statsig 'B2B SaaS Experimentation: Feature Flags, Metrics, and ROI' (statsig.com/perspectives/b2b-saas-experiment-feature-flags); Chargebee 'Entitlement Management &amp; Automated Feature Provisioning' (chargebee.com/entitlement-management); Salable 'Feature Flags and Entitlements: A Practical Guide' (salable.app/blog/insights/entitlements-future-feature-management) — report up to 38% higher YoY growth and ~10pt higher NDR for usage-based/entitlement-gated pricing vs flat-price peers, and 1-3% revenue leakage industry-wide from ungated features.</t>
  </si>
  <si>
    <t xml:space="preserve">reach=4: target population is admin-console operators (per brief), becomes near-universal once customer-facing app ships, but post-ship frequency is explicitly 'unknown' per brief -&gt; periodic not daily, so 4 not 5. user_value=4: unlocks a wholly new job-to-be-done (no current mechanism exists) but the pain is prospective (app hasn't shipped, no operator experiences this today), so capped at 4 not 5. business_value=5: hard blocking prerequisite for a new revenue-generating product surface AND explicit foundation for a new billing model -&gt; matches anchor 5 'opens a new segment/market'; analogous industry benchmarks support plausibility though not company-specific. time_sensitivity=5: brief states a hard blocking dependency tied to a named internal October GTM date -&gt; matches anchor 5 'hard deadline... or closing window' (internal committed launch, not external regulation, but functions the same as a schedule gate). confidence=2: no independent evidence beyond the brief's own narrative for reach/user_value/time_sensitivity (single internal document); business_value has only analogous industry benchmarks, not company-specific proof. Per no-inflation rule, capped at 2 rather than rounded up. [scale-migration 2026-07-11] input scores remapped x2 (5-pt -&gt; 10-pt migration); severity unchanged (1-5)</t>
  </si>
  <si>
    <t xml:space="preserve">D-002</t>
  </si>
  <si>
    <t xml:space="preserve">Light-theme secondary text (--theme-text-secondary #7a7d7e) fails WCAG 2.1 AA contrast (4.15:1 &lt; 4.5:1) on all consumers incl. F-005 provenance/label text; token is byte-pinned by F-001 gates so the fix is an F-001-scope design-system revision</t>
  </si>
  <si>
    <t xml:space="preserve">https://github.com/dispatch-derek/admin-console/issues/7</t>
  </si>
  <si>
    <t xml:space="preserve">2026-07-13</t>
  </si>
  <si>
    <t xml:space="preserve">GH issue dispatch-derek/admin-console#7 (fetched via gh 2026-07-13). Token: web/src/design-system/tokens/colors.css:92 (--theme-text-secondary: #7a7d7e under [data-theme=light]; light bg-primary/bg-secondary #ffffff at :84-85); same value in light-source.css:21 and vendor/design-system/project/tokens/colors.css:92. Computed WCAG 2.1 contrast (relative luminance, sRGB linearization, (L1+0.05)/(L2+0.05)): 4.148:1 on #ffffff (fails 4.5:1 AA; matches issue's 4.15:1), 4.00:1 on #f9fbfd, 3.69:1 on #edf2fa, 3.45:1 on #eaeaea. Consumers (grep 2026-07-13): 27 declarations in web/src/index.css incl. F-005 surfaces .feature-customer-label:672, .feature-counts:680, .feature-category-tag/.feature-row-meta:722-726, .feature-empty-help:747; plus Badge.module.css:35, Table.module.css:25, Field.module.css:62, Toggle.module.css:90, PageHeader.module.css:31. Byte-pin verified: adopted-tokens.test.ts:27 (byte-for-byte vs vendored reference, REQ-F001-017), tests/gates/vendor-immutability.test.ts:38 (pinned hashes), dual-theme-harness.test.ts:46 (pins light value, REQ-F001-052). OS-light exposure: web/src/bridge/prefers-color-scheme.css:10-20 auto-applies #7a7d7e for OS-light users with no data-theme.</t>
  </si>
  <si>
    <t xml:space="preserve">Reach 5 (15-25% regular use): the token styles secondary text on virtually every screen (27 index.css consumers + 5 shared DS components, incl. F-005's core provenance/label text), so any light-theme operator encounters it constantly in daily workflows — but only light-theme users are affected. Dark is the :root default; light requires OS light preference (auto via bridge) or explicit data-theme=light, the theme split among staff operators is unmeasured (no analytics), and operator populations commonly skew dark. Honest mid-band estimate 15-25%, not inflated to 6+ without theme-adoption data; the impact is also graduated (borderline 4.15:1, most harmful to low-vision users) rather than a functional break. Confidence 7 (good data, known gaps): the defect is deterministically reproduced — independently recomputed contrast ratios (4.148:1 on white, worse on other light surfaces) and verified the byte-pin constraint in the gate test sources, and the issue documents an empirically reverted fix attempt — but the reach side rests on zero measurement of light-theme share among operators, which keeps it below 8.</t>
  </si>
  <si>
    <t xml:space="preserve">F-006</t>
  </si>
  <si>
    <t xml:space="preserve">Local-first per-workspace LLM observability (usage, performance, resource load)</t>
  </si>
  <si>
    <t xml:space="preserve">briefs/F-006-local-first-workspace-llm-observability.md</t>
  </si>
  <si>
    <t xml:space="preserve">2026-07-19</t>
  </si>
  <si>
    <t xml:space="preserve">Re-verified in-repo 2026-07-19 (first-hand): DiagnosticsPage.tsx:1-75 (2 instance-scoped facts, 0 per-workspace/time-series); relay/metrics.ts:1-68 (relay-delivery scope only); bff+web package.json (zero telemetry/charting deps); oversight.service.ts:13-27 + mappers.ts:229-231 + engine-types.ts:97-105 (chats passed as opaque unknown[], 0 metric fields parsed); events/catalog.ts AdminEventName union = 21 config/CRUD names, none usage/perf (brief said 20; substance holds). Carried from brief (not re-fetched): engine event_logs session-auth-only + workspace_chats blob-embedded timing (docs/anythingllm-surface.md:205-219); Ollama /api/generate 6 metric fields + /api/ps (ollama docs). Human-supplied: fleet &lt;5 appliances; three-consumer framing; zero-cloud constraint (PO 2026-07-19). | Addendum 2026-07-19: brief Business Rationale revised — PO verbatim ruling that observability data benefits revenue via customer-facing reports/dashboards (briefs/F-006-local-first-workspace-llm-observability.md, 'Product-owner addition, 2026-07-19' + packaged/paid-vs-included Open Question).</t>
  </si>
  <si>
    <t xml:space="preserve">reach=6 (breadth-vs-frequency tension: all 3 personas exposed per deployment, but consumption episodic — capacity periodic, reporting periodic, troubleshooting incident-driven; breadth reading could argue 7). user_value=7 (troubleshooting has NO workaround — data gone once event passes; capacity is wait-for-complaint; customer reporting is a new JTBD nudging 8, held at 7 as value diffuse across episodic cases). business_value=5 (billing/metering excluded by PO so revenue argument off the table; support/ops cost + reporting satisfaction, indirect and small at &lt;5 appliances; GTM-gate not established — brief's own ops-minimum question). time_sensitivity=4 (no date/window supplied; GTM coupling real but unquantified — re-score if launch date lands). confidence=5 (gap proven multi-source in-repo; value framing single-stakeholder, usage data structurally unavailable at this fleet size; unresolved metric-capture point bleeds feasibility uncertainty into value confidence). | [re-score 2026-07-19, Hybrid] business_value 5-&gt;6: PO ruling reframes billing exclusion — metering out, but customer-facing reports/dashboards = revenue-benefiting retention capability (anchor 6 'conversion, retention, or cost'); held below 7+ (single-stakeholder hypothesis, no adoption/willingness-to-pay evidence, packaged-vs-included unresolved). Confidence unchanged at 5. | Human override 2026-07-19: Deferred -&gt; Prioritized by product owner (revenue-via-reporting thesis); prioritizer's sequencing caveats stand (capture point unresolved, GTM undated).</t>
  </si>
  <si>
    <t xml:space="preserve">D-003</t>
  </si>
  <si>
    <t xml:space="preserve">Workspace chat history page is leaking json of the chat history onto the page vs laying out the data in a tabular format for human viewing.</t>
  </si>
  <si>
    <t xml:space="preserve">https://github.com/dispatch-derek/admin-console/issues/9</t>
  </si>
  <si>
    <t xml:space="preserve">2026-07-15</t>
  </si>
  <si>
    <t xml:space="preserve">GH issue dispatch-derek/admin-console#9 (fetched via gh 2026-07-15): reporter states the Workspace Chats screen renders raw JSON of chat history instead of a tabular layout and 'fails in the same way no matter which workspace you choose' — includes a full-page screenshot (committed live reproduction). Code inspection confirms mechanism deterministically: web/src/features/users/ChatOversight.tsx:75-81 renders every record as &lt;li&gt;&lt;pre&gt;{JSON.stringify(chat, null, 2)}&lt;/pre&gt;&lt;/li&gt; with no field mapping — the chats array is typed unknown[] (:17) and dumped verbatim. Rendering is workspace-independent (the Select filter at :62-73 only changes which records load, not how they render), matching the reporter's 'every workspace' claim. Chat oversight is a primary console surface (REQ-051, §6.6), listed in the main sidebar as 'Workspace Chats'.</t>
  </si>
  <si>
    <t xml:space="preserve">Reach 6 (15-40% regular use): a primary listed nav surface that fails completely (raw JSON, not degraded) for 100% of operators who open it, on every workspace — but chat oversight is one of several staff functions and not every operator uses it daily, and there is no analytics on the oversight-user share, so held at 6 rather than a daily-workflow 8+. Confidence 7 (good data, known gaps): defect is deterministically reproduced from source (literal JSON.stringify render) AND has a committed screenshot + reporter confirmation in issue #9 — stronger than a code trace alone (cf. D-001 conf 4, which lacked live repro); capped below 8 only because the reach-share estimate rests on no operator-usage measurement. Severity 5 is human triage-owned; not modified by this role.</t>
  </si>
  <si>
    <t xml:space="preserve">F-007</t>
  </si>
  <si>
    <t xml:space="preserve">Multi-language and number format internationalization support in the user interface</t>
  </si>
  <si>
    <t xml:space="preserve">briefs/F-007-ui-internationalization.md</t>
  </si>
  <si>
    <t xml:space="preserve">Re-verified 2026-07-19: web/package.json zero i18n deps (react, react-dom, @phosphor-icons only); no locale/i18n/.po files under web/; exactly 2 default-locale format sites (DiagnosticsPage.tsx:49, BaselineEditor.tsx:110); zero explicit-Intl/navigator.language/Accept-Language across 111 TS/TSX files; 56 inline JSX text nodes matched across 21 tsx files (confirms brief's &gt;=48 lower bound). Upstream: anything-llm frontend/src/locales ~26 locale folders + translation scripts (verified); upstream issue #1371 non-English UI request (verified). Zero inbound localization requests for this fork (no ticketing channel exists; nothing in docs/README/CHANGELOG).</t>
  </si>
  <si>
    <t xml:space="preserve">reach=2 (population-share floor: ~0% observed non-English operators, prospective fraction unsized/undated; DISSENT: broad whole-UI capability arguably higher — a dated market-entry commitment should trigger reach re-score upward). user_value=6 (real per-session friction for non-English operator, clumsy-not-blocking workaround). business_value=8 (table-stakes enabler of stated market expansion; not 9-10 — enabler, not the market-opener, unsized). time_sensitivity=3 (GTM-tied but NO date supplied; value decays slowly; re-score if dates arrive). confidence=4 (current-state gap code-verified, but demand hypothesis rests on upstream analogs only; zero fork-specific demand signals).</t>
  </si>
  <si>
    <t xml:space="preserve">D-004</t>
  </si>
  <si>
    <t xml:space="preserve">Lefthand side menu in UI has a visible vertical scroll bar but the scroll bar should always be invisible to the user. The menu should still be vertically scrollable with the mousewheel even though the scrollbar is invisible. Refer to the way that this is handled in the AnythingLLM web frontend for a guide to what is needed for UX and design of the lefthand side menu.</t>
  </si>
  <si>
    <t xml:space="preserve">Code inspection (2026-07-15): web/src/index.css:103-107 — .ac-sidebar-nav sets overflow-y:auto with NO scrollbar-hiding declarations (no scrollbar-width:none, no ::-webkit-scrollbar{display:none}), so a native vertical scrollbar renders whenever the nav content exceeds viewport height. The sidebar carries ~15 items across sections (App.tsx nav), which overflows at common laptop heights. Reference behavior for the intended fix exists in the AnythingLLM web frontend (scrollbar hidden, wheel-scroll retained), per the reporter. No GH ticket / brief_ref and no committed screenshot — evidence is the deterministic code trace plus the reporter's description.</t>
  </si>
  <si>
    <t xml:space="preserve">Reach 6 (15-40% regular use): the sidebar is on every console screen (seen ~100% of the time), but the defect symptom is conditional on the nav overflowing the viewport, which depends on unmeasured operator window height/zoom; common on 13-14in laptops with this item count but not universal, so 6 not 8. Confidence 6 (deterministic repro, reach gap): the missing-rule mechanism is certain from source, but there is no live screenshot and the overflow frequency across operator viewports is unmeasured. Purely cosmetic (still wheel-scrollable) — severity 1 is human-owned and unchanged by this role.</t>
  </si>
  <si>
    <t xml:space="preserve">F-008</t>
  </si>
  <si>
    <t xml:space="preserve">System-wide backups on schedule</t>
  </si>
  <si>
    <t xml:space="preserve">briefs/F-008-system-wide-scheduled-backups.md</t>
  </si>
  <si>
    <t xml:space="preserve">Re-verified 2026-07-19: zero backup/restore/snapshot/VACUUM-INTO capability in admin-console AND /home/derek/git/customer-web-app (all hits unrelated: env-dump diagnostics, vitest fixtures). settings-map.ts:39-43 Ollama managed over-the-wire only; zero references to Ollama on-disk storage in either repo. db-path.ts:8 DB_PATH default data/console.db shared by BFF+relay. Manual-backup preconditions exist in TWO runbooks (F-004:86, F-005:90) — brief's 'three' is overstated, F-002 runbook has none. git log --all: zero incident/drill history (only the brief commit itself). No deployment descriptors in either repo. Brief: briefs/F-008-system-wide-scheduled-backups.md (PO scope rulings 2026-07-19 incl. Ollama + ABM/iCloud investigation).</t>
  </si>
  <si>
    <t xml:space="preserve">reach=8 (judgment placement: breadth maximal — 100% of users of all three apps bear continuous data-loss exposure — but anchors 9-10 reward active daily interaction which a background DR capability lacks; pure-breadth reading defends 9-10, reviewer may override either way). user_value=6 (catastrophic-but-latent pain; zero experienced loss events; 7-8 require frequent pain). business_value=7 (production-readiness/GTM enabler + tail-risk defense; GTM milestone unconfirmed, no incident/contract evidence for higher). time_sensitivity=5 (undated production gate; rises 6-7 if near-term GTM date confirmed). confidence=6 (gap existence code-verified ~certain; value magnitude/urgency directional with no incident history; anchored to the weaker evidence class). DISSENT: if PO confirms hard near-term GTM gate, business_value and time_sensitivity are under-scored - re-score then.</t>
  </si>
  <si>
    <t xml:space="preserve">D-005</t>
  </si>
  <si>
    <t xml:space="preserve">Dead code: engine adapter envDump() and its GET /v1/system/env-dump wrapper are unused and point at a misleading AnythingLLM endpoint. That endpoint is a 'dump settings to file' action that replies with bare status text 'OK' (a no-op outside production), never JSON. The diagnostics 500 fix repointed getEnvDump() to adapter.getSystem(), so envDump() now survives only as ~8 test mocks. Remove EngineAdapter.envDump, HttpEngineAdapter.envDump, and the stale mocks.</t>
  </si>
  <si>
    <t xml:space="preserve">https://github.com/dispatch-derek/admin-console/issues/10</t>
  </si>
  <si>
    <t xml:space="preserve">GH issue dispatch-derek/admin-console#10 (gh issue view 10); re-verified 2026-07-19 by code inspection: envDump interface bff/src/engine/adapter.ts:57, impl :242-245 wrapping /system/env-dump (:243); grep '\.envDump(' bff/src -&gt; 0 callers; survives as 11 mock refs across 9 test files (bff/test/routes/*, bff/test/services/baseline.service.test.ts); fix already landed at bff/src/services/settings.service.ts:341 (getEnvDump -&gt; adapter.getSystem()).</t>
  </si>
  <si>
    <t xml:space="preserve">reach=1 (anchor 1 'rare edge case': dead code, zero runtime callers, 0% of operators affected; original 500 already fixed by repointing getEnvDump). confidence=10 (anchor 10 'validated': exhaustive static verification of a typed codebase — whole-tree grep for call sites yields none; mocks and landed fix confirmed at cited lines).</t>
  </si>
  <si>
    <t xml:space="preserve">D-006</t>
  </si>
  <si>
    <t xml:space="preserve">Event relay delivers admin.* envelopes to peers without authentication or TLS enforcement (F-004 security review F2). bff/src/relay/http-peer-transport.ts POSTs admin.* event envelopes to EVENT_BUS_URL peers with no HMAC/mTLS body auth and no https enforcement; http:// peers accepted without scheme validation. Confidentiality/integrity exposure of the admin event stream + forged-event injection risk at consumers. Blast radius bounded by operator-controlled config. Follow-up hardening: HMAC signing or mTLS + require https:// peers in production.</t>
  </si>
  <si>
    <t xml:space="preserve">https://github.com/dispatch-derek/admin-console/issues/16</t>
  </si>
  <si>
    <t xml:space="preserve">Re-verified 2026-07-19 (main, F-004 merged via PR #17): bff/src/relay/http-peer-transport.ts:60-67 POST sends only content-type + x-event-delivery-id, no HMAC/signature/bearer/mTLS; bff/src/relay/config.ts:13-17 EVENT_BUS_URL parsed with no scheme validation (http:// accepted); bff/.env.example:24-25 and bff/.env:25 EVENT_BUS_MODE=inproc, EVENT_BUS_URL empty -&gt; HttpPeerTransport inactive in known deployment; bff/src/config.ts:40-56 bus/inproc gating; security/F-004-review.md finding F2 [Medium] independent confirmation; GH issue #16.</t>
  </si>
  <si>
    <t xml:space="preserve">[intake 2026-07-19] Logged from F-004 Phase 7 security review (security/F-004-review.md, finding F2 [Medium]). Accepted for GTM: peers are operator-controlled endpoints on a trusted network and the peer trust model was explicitly deferred by the F-004 spec. Follow-up: HMAC body signing or mTLS, plus require https:// peers when NODE_ENV=production (allow internal http:// only behind a service mesh by opt-in). See also security review F3 (/ready bind address) and F4 (outbound SSRF allowlist). GH issue #16. | [research 2026-07-19] reach=1 (anchor 1 'rare edge case': exposure requires opting into EVENT_BUS_MODE=bus + peer URLs + http/MITM-able hop; known deployment runs inproc, ~0 operators hit it today). confidence=9 (anchor 9: absent-control confirmed by direct code read at exact lines + independent security review F2; residual unknown only that no live bus-mode deployment exercises the path). Not inflating reach to compensate severity - severity (human, 2) carries the fast-track formula by design.</t>
  </si>
  <si>
    <t xml:space="preserve">F-009</t>
  </si>
  <si>
    <t xml:space="preserve">Console login for console-created admin users</t>
  </si>
  <si>
    <t xml:space="preserve">briefs/F-009-console-login-for-console-created-admin-users.md</t>
  </si>
  <si>
    <t xml:space="preserve">Re-verified in-repo 2026-07-19: bff/src/routes/auth.routes.ts:133 (login resolves only staffRepo.findByUsername); bff/src/services/user.service.ts:101-135 (createUser writes engine only, no staff row); bff/src/auth/bootstrap.ts:11-20 (single bootstrap account when staff count==0); web/src/features/ has no staff feature; web/src/api/client.ts:127,131 listStaff/createStaff unconsumed. Firsthand operator report 2026-07-19 (brief), single known deployment/operator. Product-owner timing ruling 2026-07-19: ASAP, go-to-market blocker gating multi-operator testing.</t>
  </si>
  <si>
    <t xml:space="preserve">Scored against console operators as target population. reach=4 ('5-15% or infrequent use'; onboarding-frequency, N=1 deployment today — 3 was arguable). user_value=6 (real pain, clumsy workaround: hand-rolled POST /api/staff + silent-failure UX; held below 7 as pain is onboarding-frequency, not frequent). business_value=4 (indirect GTM precondition, explicitly unquantified — not inflated; confidence carries the uncertainty). time_sensitivity=9 (ASAP/within-quarter window; not 10 — no external hard deadline). confidence=5 (mechanism code-verified, demand side N=1, no tickets/analytics). | Human sign-off 2026-07-19 (risk&gt;=9 flag review): risk revised 10 -&gt; 5 by product owner; flag cleared; status -&gt; Prioritized.</t>
  </si>
  <si>
    <t xml:space="preserve">F-010</t>
  </si>
  <si>
    <t xml:space="preserve">Deliver admin.* events to customer-web-app: add its ingest endpoint to the relay peer list</t>
  </si>
  <si>
    <t xml:space="preserve">Idea</t>
  </si>
  <si>
    <t xml:space="preserve">[from customer-web-app F-005 spec, 2026-07-19] cwa's cross-app identity sync (dispatch-derek/customer-web-app specs/F-005-cross-app-identity-sync.md, Prioritized there) consumes admin.user.* events as an HTTP peer of this app's F-004 relay. Producer-side precondition pinned in that spec's §3.6: this app's relay EVENT_BUS_URL peer list must include cwa's ingest endpoint (POST /api/events/ingest), with the shared ingest secret provisioned to both sides and the pinned X-Event-Delivery-Id header carried. Config-only on the relay side (comma-list peer per REQ-F004-052) plus credential provisioning/runbook. Related: D-006 (relay peer delivery lacks HMAC/mTLS + https enforcement) — adding a second peer raises that hardening's priority; cwa-side ingest auth expects the shared-secret header. Ready for /write-feature-brief.</t>
  </si>
  <si>
    <t xml:space="preserve">F-011</t>
  </si>
  <si>
    <t xml:space="preserve">Dashboard and reports for visualizing the data coming in as customer.* events from customer-web-app</t>
  </si>
  <si>
    <t xml:space="preserve">[from customer-web-app F-007 brief, 2026-07-19] Product-owner ruling names admin-console as the near-term consumer of cwa's customer.* event stream for audit and customer-reporting purposes; this row tracks that consumer work (previously untracked — flagged as an open question in cwa's briefs/F-007-production-event-relay-twin.md). Scope sketch: consume/ingest customer.* envelopes (13 event names across 7 families in cwa's catalog: user, conversation, answer, topic, topic_user, branding, addon; 5 user events after cwa F-005) and surface dashboards/reports over them. Dependencies: cwa F-007 relay twin (Deferred in cwa's workbook until its F-005 implements) must deliver the stream; F-010 here is the mirror-image peer-list config for the opposite direction; an admin-console-side ingest receiver for customer.* does not exist yet (this app is producer-only today). Which of the 13 families the dashboards need is an open question carried in cwa's F-007 brief. Ready for /write-feature-brief.</t>
  </si>
  <si>
    <t xml:space="preserve">DATA DICTIONARY - machine-readable field contract for agents</t>
  </si>
  <si>
    <t xml:space="preserve">Column (Scoring sheet)</t>
  </si>
  <si>
    <t xml:space="preserve">field_id</t>
  </si>
  <si>
    <t xml:space="preserve">Type</t>
  </si>
  <si>
    <t xml:space="preserve">Allowed Values / Range</t>
  </si>
  <si>
    <t xml:space="preserve">Owner</t>
  </si>
  <si>
    <t xml:space="preserve">Description</t>
  </si>
  <si>
    <t xml:space="preserve">A: Feature ID</t>
  </si>
  <si>
    <t xml:space="preserve">feature_id</t>
  </si>
  <si>
    <t xml:space="preserve">string</t>
  </si>
  <si>
    <t xml:space="preserve">Unique, pattern F-### (Feature) or D-### (Defect)</t>
  </si>
  <si>
    <t xml:space="preserve">Human</t>
  </si>
  <si>
    <t xml:space="preserve">Stable identifier; used to join to the feature brief (Feature) or defect/bug report (Defect)</t>
  </si>
  <si>
    <t xml:space="preserve">B: Feature Name</t>
  </si>
  <si>
    <t xml:space="preserve">feature_name</t>
  </si>
  <si>
    <t xml:space="preserve">Free text</t>
  </si>
  <si>
    <t xml:space="preserve">Short human-readable name</t>
  </si>
  <si>
    <t xml:space="preserve">C: Brief Reference</t>
  </si>
  <si>
    <t xml:space="preserve">brief_ref</t>
  </si>
  <si>
    <t xml:space="preserve">Path or URL</t>
  </si>
  <si>
    <t xml:space="preserve">Link to the feature brief (Feature rows) or the defect/bug report (Defect rows) the score is based on</t>
  </si>
  <si>
    <t xml:space="preserve">D: Status</t>
  </si>
  <si>
    <t xml:space="preserve">status</t>
  </si>
  <si>
    <t xml:space="preserve">enum</t>
  </si>
  <si>
    <t xml:space="preserve">Idea | Brief Drafted | Reported | Triaged | Scored | Prioritized | In Progress | Implemented | Fixed | Verified | Deferred | Rejected | Won't Fix | Cancelled</t>
  </si>
  <si>
    <t xml:space="preserve">Human / Prioritization agent</t>
  </si>
  <si>
    <t xml:space="preserve">Lifecycle state; the valid subset depends on item_type. Feature: Idea -&gt; Brief Drafted -&gt; Scored -&gt; Prioritized -&gt; In Progress -&gt; Implemented, or Deferred | Rejected. Defect: Reported -&gt; Triaged -&gt; Scored -&gt; Prioritized -&gt; In Progress -&gt; Fixed -&gt; Verified, or Deferred | Won't Fix. Prioritization agent may advance Scored -&gt; Prioritized for either type; /implement-spec advances Feature rows Prioritized -&gt; In Progress -&gt; Implemented; /fix-defect-or-bug advances Defect rows In Progress -&gt; Fixed -&gt; Verified. Cancelled: human-only terminal state for either item_type, settable at any point after logging - the item was valid to log but later judged not worth doing. Agents never write Cancelled; Cancelled rows are excluded from scoring, ranking, and staleness checks.</t>
  </si>
  <si>
    <t xml:space="preserve">E: Scored By</t>
  </si>
  <si>
    <t xml:space="preserve">scored_by</t>
  </si>
  <si>
    <t xml:space="preserve">Human | Market Research Agent | Hybrid</t>
  </si>
  <si>
    <t xml:space="preserve">Scorer</t>
  </si>
  <si>
    <t xml:space="preserve">Provenance of the scores in this row</t>
  </si>
  <si>
    <t xml:space="preserve">F: Date Scored</t>
  </si>
  <si>
    <t xml:space="preserve">date_scored</t>
  </si>
  <si>
    <t xml:space="preserve">date</t>
  </si>
  <si>
    <t xml:space="preserve">ISO 8601 (YYYY-MM-DD)</t>
  </si>
  <si>
    <t xml:space="preserve">When scores were last updated; prioritizer may discount stale rows</t>
  </si>
  <si>
    <t xml:space="preserve">G: Reach</t>
  </si>
  <si>
    <t xml:space="preserve">reach</t>
  </si>
  <si>
    <t xml:space="preserve">integer</t>
  </si>
  <si>
    <t xml:space="preserve">1-10 (Rubric sheet)</t>
  </si>
  <si>
    <t xml:space="preserve">Human / Research agent</t>
  </si>
  <si>
    <t xml:space="preserve">Share of users affected and frequency of exposure For Defect rows: share of customers who hit the bug (feeds the fast-track reach factor).</t>
  </si>
  <si>
    <t xml:space="preserve">H: User Value</t>
  </si>
  <si>
    <t xml:space="preserve">user_value</t>
  </si>
  <si>
    <t xml:space="preserve">Depth of pain relieved or capability gained per affected user</t>
  </si>
  <si>
    <t xml:space="preserve">I: Business Value</t>
  </si>
  <si>
    <t xml:space="preserve">business_value</t>
  </si>
  <si>
    <t xml:space="preserve">Revenue, retention, cost, or market-access impact</t>
  </si>
  <si>
    <t xml:space="preserve">J: Strategic Alignment</t>
  </si>
  <si>
    <t xml:space="preserve">strategic_alignment</t>
  </si>
  <si>
    <t xml:space="preserve">Fit with product vision; deliberately human-owned Not used in the Defect priority formula (severity fast-track model).</t>
  </si>
  <si>
    <t xml:space="preserve">K: Time Sensitivity</t>
  </si>
  <si>
    <t xml:space="preserve">time_sensitivity</t>
  </si>
  <si>
    <t xml:space="preserve">Decay of value if shipping is delayed</t>
  </si>
  <si>
    <t xml:space="preserve">L: Confidence</t>
  </si>
  <si>
    <t xml:space="preserve">confidence</t>
  </si>
  <si>
    <t xml:space="preserve">Strength of evidence behind the value scores For Defect rows: strength of repro/evidence backing severity and reach; the same Confidence Mult lookup applies.</t>
  </si>
  <si>
    <t xml:space="preserve">M: Effort</t>
  </si>
  <si>
    <t xml:space="preserve">effort</t>
  </si>
  <si>
    <t xml:space="preserve">Human (engineering)</t>
  </si>
  <si>
    <t xml:space="preserve">Total delivery cost incl. design, QA, maintenance Not used in the Defect priority formula; still collectible for fix-effort planning.</t>
  </si>
  <si>
    <t xml:space="preserve">N: Risk</t>
  </si>
  <si>
    <t xml:space="preserve">risk</t>
  </si>
  <si>
    <t xml:space="preserve">Technical/market/reversibility risk Not used in the Defect priority formula; still collectible for regression-risk planning.</t>
  </si>
  <si>
    <t xml:space="preserve">O: Evidence &amp; Sources</t>
  </si>
  <si>
    <t xml:space="preserve">evidence_sources</t>
  </si>
  <si>
    <t xml:space="preserve">Free text; citations required for agent-scored rows</t>
  </si>
  <si>
    <t xml:space="preserve">What the scores are based on; research agents MUST cite sources</t>
  </si>
  <si>
    <t xml:space="preserve">P: Rationale Notes</t>
  </si>
  <si>
    <t xml:space="preserve">rationale_notes</t>
  </si>
  <si>
    <t xml:space="preserve">Reasoning behind judgment calls and any dissent</t>
  </si>
  <si>
    <t xml:space="preserve">Q: Weighted Value</t>
  </si>
  <si>
    <t xml:space="preserve">weighted_value</t>
  </si>
  <si>
    <t xml:space="preserve">formula</t>
  </si>
  <si>
    <t xml:space="preserve">0.00-5.00</t>
  </si>
  <si>
    <t xml:space="preserve">Formula - do not edit</t>
  </si>
  <si>
    <t xml:space="preserve">SUMPRODUCT of value dimensions and Config weights Blank for Defect rows (the fast-track model doesn't use it).</t>
  </si>
  <si>
    <t xml:space="preserve">R: Confidence Mult</t>
  </si>
  <si>
    <t xml:space="preserve">confidence_multiplier</t>
  </si>
  <si>
    <t xml:space="preserve">0.50-1.00</t>
  </si>
  <si>
    <t xml:space="preserve">Lookup from Config confidence map</t>
  </si>
  <si>
    <t xml:space="preserve">S: Risk Factor</t>
  </si>
  <si>
    <t xml:space="preserve">risk_factor</t>
  </si>
  <si>
    <t xml:space="preserve">0.60-1.00</t>
  </si>
  <si>
    <t xml:space="preserve">Lookup from Config risk map</t>
  </si>
  <si>
    <t xml:space="preserve">T: Priority Score</t>
  </si>
  <si>
    <t xml:space="preserve">priority_score</t>
  </si>
  <si>
    <t xml:space="preserve">0-100</t>
  </si>
  <si>
    <t xml:space="preserve">Feature rows: MIN(100, Weighted Value x Confidence Mult x Risk Factor / Effort x 20). Defect rows: severity-driven fast-track = Severity base score (Config lookup) x Reach factor (Config lookup) x Confidence Mult, capped at 100 - see Config sheet.</t>
  </si>
  <si>
    <t xml:space="preserve">U: Rank</t>
  </si>
  <si>
    <t xml:space="preserve">rank</t>
  </si>
  <si>
    <t xml:space="preserve">1-N</t>
  </si>
  <si>
    <t xml:space="preserve">Descending rank of Priority Score across scored rows</t>
  </si>
  <si>
    <t xml:space="preserve">V: Item Type</t>
  </si>
  <si>
    <t xml:space="preserve">item_type</t>
  </si>
  <si>
    <t xml:space="preserve">Feature | Defect</t>
  </si>
  <si>
    <t xml:space="preserve">Discriminates row type; determines which scoring path applies (weighted-value for Feature, severity fast-track for Defect) and which Status values are valid. Defaults to Feature for legacy rows without this column set.</t>
  </si>
  <si>
    <t xml:space="preserve">W: Defect Source</t>
  </si>
  <si>
    <t xml:space="preserve">defect_source</t>
  </si>
  <si>
    <t xml:space="preserve">Customer-Reported | Internal</t>
  </si>
  <si>
    <t xml:space="preserve">Human / Support</t>
  </si>
  <si>
    <t xml:space="preserve">Only meaningful when item_type=Defect. How the defect was found; blank for Feature rows.</t>
  </si>
  <si>
    <t xml:space="preserve">X: Severity</t>
  </si>
  <si>
    <t xml:space="preserve">severity</t>
  </si>
  <si>
    <t xml:space="preserve">1-5 (Rubric sheet)</t>
  </si>
  <si>
    <t xml:space="preserve">Human (triage)</t>
  </si>
  <si>
    <t xml:space="preserve">Only meaningful when item_type=Defect. Drives priority_score directly via the severity fast-track model on the Config sheet (bypasses weighted_value, strategic_alignment, and the effort divisor). 5=critical/blocking (industry Sev1), 1=cosmetic (see Rubric). Severity deliberately stays on a 1-5 scale (industry Sev alignment) after the 2026-07 move of all other dimensions to 1-10.</t>
  </si>
</sst>
</file>

<file path=xl/styles.xml><?xml version="1.0" encoding="utf-8"?>
<styleSheet xmlns="http://schemas.openxmlformats.org/spreadsheetml/2006/main">
  <numFmts count="7">
    <numFmt numFmtId="164" formatCode="General"/>
    <numFmt numFmtId="165" formatCode="0%"/>
    <numFmt numFmtId="166" formatCode="0.00"/>
    <numFmt numFmtId="167" formatCode="0"/>
    <numFmt numFmtId="168" formatCode="m/d/yyyy"/>
    <numFmt numFmtId="169" formatCode="0.0"/>
    <numFmt numFmtId="170" formatCode="yyyy\-mm\-dd"/>
  </numFmts>
  <fonts count="16">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1"/>
      <name val="Arial"/>
      <family val="0"/>
      <charset val="1"/>
    </font>
    <font>
      <b val="true"/>
      <sz val="11"/>
      <color rgb="FF1F3864"/>
      <name val="Arial"/>
      <family val="0"/>
      <charset val="1"/>
    </font>
    <font>
      <b val="true"/>
      <sz val="12"/>
      <color rgb="FF1F3864"/>
      <name val="Arial"/>
      <family val="0"/>
      <charset val="1"/>
    </font>
    <font>
      <sz val="11"/>
      <color rgb="FF0000FF"/>
      <name val="Arial"/>
      <family val="0"/>
      <charset val="1"/>
    </font>
    <font>
      <i val="true"/>
      <sz val="11"/>
      <name val="Arial"/>
      <family val="0"/>
      <charset val="1"/>
    </font>
    <font>
      <sz val="11"/>
      <color rgb="FF000000"/>
      <name val="Arial"/>
      <family val="0"/>
      <charset val="1"/>
    </font>
    <font>
      <i val="true"/>
      <sz val="9"/>
      <name val="Arial"/>
      <family val="0"/>
      <charset val="1"/>
    </font>
    <font>
      <b val="true"/>
      <sz val="11"/>
      <color rgb="FFFFFFFF"/>
      <name val="Arial"/>
      <family val="0"/>
      <charset val="1"/>
    </font>
    <font>
      <b val="true"/>
      <sz val="11"/>
      <name val="Arial"/>
      <family val="0"/>
      <charset val="1"/>
    </font>
    <font>
      <u val="single"/>
      <sz val="11"/>
      <color theme="10"/>
      <name val="Calibri"/>
      <family val="2"/>
      <charset val="1"/>
    </font>
    <font>
      <sz val="11"/>
      <color rgb="FF0000FF"/>
      <name val="Arial"/>
      <family val="2"/>
      <charset val="1"/>
    </font>
  </fonts>
  <fills count="6">
    <fill>
      <patternFill patternType="none"/>
    </fill>
    <fill>
      <patternFill patternType="gray125"/>
    </fill>
    <fill>
      <patternFill patternType="solid">
        <fgColor rgb="FFD9E2F3"/>
        <bgColor rgb="FFEBF1FA"/>
      </patternFill>
    </fill>
    <fill>
      <patternFill patternType="solid">
        <fgColor rgb="FF1F3864"/>
        <bgColor rgb="FF333333"/>
      </patternFill>
    </fill>
    <fill>
      <patternFill patternType="solid">
        <fgColor rgb="FFEBF1FA"/>
        <bgColor rgb="FFF2F2F2"/>
      </patternFill>
    </fill>
    <fill>
      <patternFill patternType="solid">
        <fgColor rgb="FFF2F2F2"/>
        <bgColor rgb="FFEBF1F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bottom" textRotation="0" wrapText="true" indent="0" shrinkToFit="false"/>
      <protection locked="true" hidden="false"/>
    </xf>
    <xf numFmtId="168" fontId="8" fillId="4" borderId="1" xfId="0" applyFont="tru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14"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6" fontId="10" fillId="5" borderId="1" xfId="0" applyFont="true" applyBorder="true" applyAlignment="true" applyProtection="false">
      <alignment horizontal="center" vertical="center" textRotation="0" wrapText="false" indent="0" shrinkToFit="false"/>
      <protection locked="true" hidden="false"/>
    </xf>
    <xf numFmtId="169" fontId="10" fillId="5" borderId="1" xfId="0" applyFont="true" applyBorder="true" applyAlignment="true" applyProtection="false">
      <alignment horizontal="center" vertical="center" textRotation="0" wrapText="false" indent="0" shrinkToFit="false"/>
      <protection locked="true" hidden="false"/>
    </xf>
    <xf numFmtId="167" fontId="10" fillId="5" borderId="1" xfId="0" applyFont="true" applyBorder="true" applyAlignment="true" applyProtection="false">
      <alignment horizontal="center" vertical="center" textRotation="0" wrapText="false" indent="0" shrinkToFit="false"/>
      <protection locked="true" hidden="false"/>
    </xf>
    <xf numFmtId="164" fontId="15" fillId="4" borderId="1" xfId="0" applyFont="true" applyBorder="true" applyAlignment="true" applyProtection="false">
      <alignment horizontal="general" vertical="bottom" textRotation="0" wrapText="true" indent="0" shrinkToFit="false"/>
      <protection locked="true" hidden="false"/>
    </xf>
    <xf numFmtId="170" fontId="8" fillId="4" borderId="1" xfId="0" applyFont="true" applyBorder="true" applyAlignment="true" applyProtection="false">
      <alignment horizontal="general" vertical="bottom" textRotation="0" wrapText="false" indent="0" shrinkToFit="false"/>
      <protection locked="true" hidden="false"/>
    </xf>
    <xf numFmtId="164" fontId="8" fillId="4" borderId="2" xfId="0" applyFont="true" applyBorder="true" applyAlignment="tru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BF1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hyperlink" Target="https://www.toptal.com/designers/design-systems/benefits-of-design-system" TargetMode="External"/><Relationship Id="rId2" Type="http://schemas.openxmlformats.org/officeDocument/2006/relationships/hyperlink" Target="https://github.com/dispatch-derek/admin-console/issues/7" TargetMode="External"/><Relationship Id="rId3" Type="http://schemas.openxmlformats.org/officeDocument/2006/relationships/hyperlink" Target="https://github.com/dispatch-derek/admin-console/issues/9"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 activeCellId="0" sqref="A5"/>
    </sheetView>
  </sheetViews>
  <sheetFormatPr defaultColWidth="8.63671875" defaultRowHeight="14.25" customHeight="false" zeroHeight="false" outlineLevelRow="0" outlineLevelCol="0"/>
  <cols>
    <col collapsed="false" customWidth="true" hidden="false" outlineLevel="0" max="1" min="1" style="1" width="110"/>
  </cols>
  <sheetData>
    <row r="1" customFormat="false" ht="18" hidden="false" customHeight="true" outlineLevel="0" collapsed="false">
      <c r="A1" s="2" t="s">
        <v>0</v>
      </c>
    </row>
    <row r="2" customFormat="false" ht="27.75" hidden="false" customHeight="true" outlineLevel="0" collapsed="false">
      <c r="A2" s="3" t="s">
        <v>1</v>
      </c>
    </row>
    <row r="3" customFormat="false" ht="14.25" hidden="false" customHeight="true" outlineLevel="0" collapsed="false">
      <c r="A3" s="3"/>
    </row>
    <row r="4" customFormat="false" ht="14.25" hidden="false" customHeight="true" outlineLevel="0" collapsed="false">
      <c r="A4" s="4" t="s">
        <v>2</v>
      </c>
    </row>
    <row r="5" customFormat="false" ht="27.75" hidden="false" customHeight="true" outlineLevel="0" collapsed="false">
      <c r="A5" s="3" t="s">
        <v>3</v>
      </c>
    </row>
    <row r="6" customFormat="false" ht="27.75" hidden="false" customHeight="true" outlineLevel="0" collapsed="false">
      <c r="A6" s="3" t="s">
        <v>4</v>
      </c>
    </row>
    <row r="7" customFormat="false" ht="27.75" hidden="false" customHeight="true" outlineLevel="0" collapsed="false">
      <c r="A7" s="3" t="s">
        <v>5</v>
      </c>
    </row>
    <row r="8" customFormat="false" ht="14.25" hidden="false" customHeight="true" outlineLevel="0" collapsed="false">
      <c r="A8" s="3" t="s">
        <v>6</v>
      </c>
    </row>
    <row r="9" customFormat="false" ht="27.75" hidden="false" customHeight="true" outlineLevel="0" collapsed="false">
      <c r="A9" s="3" t="s">
        <v>7</v>
      </c>
    </row>
    <row r="10" customFormat="false" ht="14.25" hidden="false" customHeight="true" outlineLevel="0" collapsed="false">
      <c r="A10" s="3"/>
    </row>
    <row r="11" customFormat="false" ht="14.25" hidden="false" customHeight="true" outlineLevel="0" collapsed="false">
      <c r="A11" s="4" t="s">
        <v>8</v>
      </c>
    </row>
    <row r="12" customFormat="false" ht="27.75" hidden="false" customHeight="true" outlineLevel="0" collapsed="false">
      <c r="A12" s="3" t="s">
        <v>9</v>
      </c>
    </row>
    <row r="13" customFormat="false" ht="14.25" hidden="false" customHeight="true" outlineLevel="0" collapsed="false">
      <c r="A13" s="3" t="s">
        <v>10</v>
      </c>
    </row>
    <row r="14" customFormat="false" ht="27.75" hidden="false" customHeight="true" outlineLevel="0" collapsed="false">
      <c r="A14" s="3" t="s">
        <v>11</v>
      </c>
    </row>
    <row r="15" customFormat="false" ht="14.25" hidden="false" customHeight="true" outlineLevel="0" collapsed="false">
      <c r="A15" s="3"/>
    </row>
    <row r="16" customFormat="false" ht="14.25" hidden="false" customHeight="true" outlineLevel="0" collapsed="false">
      <c r="A16" s="4" t="s">
        <v>12</v>
      </c>
    </row>
    <row r="17" customFormat="false" ht="27.75" hidden="false" customHeight="true" outlineLevel="0" collapsed="false">
      <c r="A17" s="3" t="s">
        <v>13</v>
      </c>
    </row>
    <row r="18" customFormat="false" ht="27.75" hidden="false" customHeight="true" outlineLevel="0" collapsed="false">
      <c r="A18" s="3" t="s">
        <v>14</v>
      </c>
    </row>
    <row r="19" customFormat="false" ht="14.25" hidden="false" customHeight="true" outlineLevel="0" collapsed="false">
      <c r="A19" s="3" t="s">
        <v>15</v>
      </c>
    </row>
    <row r="21" customFormat="false" ht="14.25" hidden="false" customHeight="true" outlineLevel="0" collapsed="false">
      <c r="A21" s="4" t="s">
        <v>16</v>
      </c>
    </row>
    <row r="22" customFormat="false" ht="26.25" hidden="false" customHeight="true" outlineLevel="0" collapsed="false">
      <c r="A22" s="3" t="s">
        <v>17</v>
      </c>
    </row>
    <row r="23" customFormat="false" ht="26.25" hidden="false" customHeight="true" outlineLevel="0" collapsed="false">
      <c r="A23" s="3" t="s">
        <v>18</v>
      </c>
    </row>
    <row r="24" customFormat="false" ht="26.25" hidden="false" customHeight="true" outlineLevel="0" collapsed="false">
      <c r="A24" s="3" t="s">
        <v>19</v>
      </c>
    </row>
    <row r="25" customFormat="false" ht="14.25" hidden="false" customHeight="true" outlineLevel="0" collapsed="false">
      <c r="A25" s="3" t="s">
        <v>20</v>
      </c>
    </row>
    <row r="26" customFormat="false" ht="14.25" hidden="false" customHeight="true" outlineLevel="0" collapsed="false">
      <c r="A26" s="3" t="s">
        <v>21</v>
      </c>
    </row>
    <row r="27" customFormat="false" ht="26.25" hidden="false" customHeight="true" outlineLevel="0" collapsed="false">
      <c r="A27" s="3"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2" activeCellId="0" sqref="E32"/>
    </sheetView>
  </sheetViews>
  <sheetFormatPr defaultColWidth="8.63671875" defaultRowHeight="14.25" customHeight="false" zeroHeight="false" outlineLevelRow="0" outlineLevelCol="0"/>
  <cols>
    <col collapsed="false" customWidth="true" hidden="false" outlineLevel="0" max="1" min="1" style="1" width="34"/>
    <col collapsed="false" customWidth="true" hidden="false" outlineLevel="0" max="2" min="2" style="1" width="12"/>
    <col collapsed="false" customWidth="true" hidden="false" outlineLevel="0" max="3" min="3" style="1" width="4"/>
    <col collapsed="false" customWidth="true" hidden="false" outlineLevel="0" max="4" min="4" style="1" width="14"/>
    <col collapsed="false" customWidth="true" hidden="false" outlineLevel="0" max="5" min="5" style="1" width="12"/>
  </cols>
  <sheetData>
    <row r="1" customFormat="false" ht="15" hidden="false" customHeight="true" outlineLevel="0" collapsed="false">
      <c r="A1" s="5" t="s">
        <v>23</v>
      </c>
    </row>
    <row r="3" customFormat="false" ht="14.25" hidden="false" customHeight="true" outlineLevel="0" collapsed="false">
      <c r="A3" s="6" t="s">
        <v>24</v>
      </c>
      <c r="B3" s="7"/>
    </row>
    <row r="4" customFormat="false" ht="14.25" hidden="false" customHeight="true" outlineLevel="0" collapsed="false">
      <c r="A4" s="8" t="s">
        <v>25</v>
      </c>
      <c r="B4" s="9" t="n">
        <v>0.2</v>
      </c>
    </row>
    <row r="5" customFormat="false" ht="14.25" hidden="false" customHeight="true" outlineLevel="0" collapsed="false">
      <c r="A5" s="8" t="s">
        <v>26</v>
      </c>
      <c r="B5" s="9" t="n">
        <v>0.25</v>
      </c>
    </row>
    <row r="6" customFormat="false" ht="14.25" hidden="false" customHeight="true" outlineLevel="0" collapsed="false">
      <c r="A6" s="8" t="s">
        <v>27</v>
      </c>
      <c r="B6" s="9" t="n">
        <v>0.25</v>
      </c>
    </row>
    <row r="7" customFormat="false" ht="14.25" hidden="false" customHeight="true" outlineLevel="0" collapsed="false">
      <c r="A7" s="8" t="s">
        <v>28</v>
      </c>
      <c r="B7" s="9" t="n">
        <v>0.2</v>
      </c>
    </row>
    <row r="8" customFormat="false" ht="14.25" hidden="false" customHeight="true" outlineLevel="0" collapsed="false">
      <c r="A8" s="8" t="s">
        <v>29</v>
      </c>
      <c r="B8" s="9" t="n">
        <v>0.1</v>
      </c>
    </row>
    <row r="9" customFormat="false" ht="14.25" hidden="false" customHeight="true" outlineLevel="0" collapsed="false">
      <c r="A9" s="10" t="s">
        <v>30</v>
      </c>
      <c r="B9" s="11" t="str">
        <f aca="false">IF(SUM(B4:B8)=1,"OK","ERROR: weights must sum to 100%")</f>
        <v>OK</v>
      </c>
    </row>
    <row r="11" customFormat="false" ht="14.25" hidden="false" customHeight="true" outlineLevel="0" collapsed="false">
      <c r="A11" s="6" t="s">
        <v>31</v>
      </c>
      <c r="B11" s="7"/>
      <c r="D11" s="6" t="s">
        <v>32</v>
      </c>
      <c r="E11" s="7"/>
      <c r="G11" s="6" t="s">
        <v>33</v>
      </c>
      <c r="I11" s="6" t="s">
        <v>34</v>
      </c>
    </row>
    <row r="12" customFormat="false" ht="14.25" hidden="false" customHeight="true" outlineLevel="0" collapsed="false">
      <c r="A12" s="12" t="n">
        <v>1</v>
      </c>
      <c r="B12" s="13" t="n">
        <v>0.45</v>
      </c>
      <c r="D12" s="12" t="n">
        <v>1</v>
      </c>
      <c r="E12" s="13" t="n">
        <v>1</v>
      </c>
      <c r="G12" s="12" t="n">
        <v>1</v>
      </c>
      <c r="H12" s="14" t="n">
        <v>10</v>
      </c>
      <c r="I12" s="12" t="n">
        <v>1</v>
      </c>
      <c r="J12" s="13" t="n">
        <v>0.75</v>
      </c>
    </row>
    <row r="13" customFormat="false" ht="14.25" hidden="false" customHeight="true" outlineLevel="0" collapsed="false">
      <c r="A13" s="12" t="n">
        <v>2</v>
      </c>
      <c r="B13" s="13" t="n">
        <v>0.5</v>
      </c>
      <c r="D13" s="12" t="n">
        <v>2</v>
      </c>
      <c r="E13" s="13" t="n">
        <v>1</v>
      </c>
      <c r="G13" s="12" t="n">
        <v>2</v>
      </c>
      <c r="H13" s="14" t="n">
        <v>30</v>
      </c>
      <c r="I13" s="12" t="n">
        <v>2</v>
      </c>
      <c r="J13" s="13" t="n">
        <v>0.8</v>
      </c>
    </row>
    <row r="14" customFormat="false" ht="14.25" hidden="false" customHeight="true" outlineLevel="0" collapsed="false">
      <c r="A14" s="12" t="n">
        <v>3</v>
      </c>
      <c r="B14" s="13" t="n">
        <v>0.58</v>
      </c>
      <c r="D14" s="12" t="n">
        <v>3</v>
      </c>
      <c r="E14" s="13" t="n">
        <v>0.95</v>
      </c>
      <c r="G14" s="12" t="n">
        <v>3</v>
      </c>
      <c r="H14" s="14" t="n">
        <v>55</v>
      </c>
      <c r="I14" s="12" t="n">
        <v>3</v>
      </c>
      <c r="J14" s="13" t="n">
        <v>0.85</v>
      </c>
    </row>
    <row r="15" customFormat="false" ht="14.25" hidden="false" customHeight="true" outlineLevel="0" collapsed="false">
      <c r="A15" s="12" t="n">
        <v>4</v>
      </c>
      <c r="B15" s="13" t="n">
        <v>0.65</v>
      </c>
      <c r="D15" s="12" t="n">
        <v>4</v>
      </c>
      <c r="E15" s="13" t="n">
        <v>0.9</v>
      </c>
      <c r="G15" s="12" t="n">
        <v>4</v>
      </c>
      <c r="H15" s="14" t="n">
        <v>80</v>
      </c>
      <c r="I15" s="12" t="n">
        <v>4</v>
      </c>
      <c r="J15" s="13" t="n">
        <v>0.9</v>
      </c>
    </row>
    <row r="16" customFormat="false" ht="14.25" hidden="false" customHeight="true" outlineLevel="0" collapsed="false">
      <c r="A16" s="12" t="n">
        <v>5</v>
      </c>
      <c r="B16" s="13" t="n">
        <v>0.73</v>
      </c>
      <c r="D16" s="12" t="n">
        <v>5</v>
      </c>
      <c r="E16" s="13" t="n">
        <v>0.85</v>
      </c>
      <c r="G16" s="12" t="n">
        <v>5</v>
      </c>
      <c r="H16" s="14" t="n">
        <v>100</v>
      </c>
      <c r="I16" s="12" t="n">
        <v>5</v>
      </c>
      <c r="J16" s="13" t="n">
        <v>0.95</v>
      </c>
    </row>
    <row r="17" customFormat="false" ht="14.25" hidden="false" customHeight="true" outlineLevel="0" collapsed="false">
      <c r="A17" s="12" t="n">
        <v>6</v>
      </c>
      <c r="B17" s="13" t="n">
        <v>0.8</v>
      </c>
      <c r="D17" s="12" t="n">
        <v>6</v>
      </c>
      <c r="E17" s="13" t="n">
        <v>0.8</v>
      </c>
      <c r="I17" s="12" t="n">
        <v>6</v>
      </c>
      <c r="J17" s="13" t="n">
        <v>1</v>
      </c>
    </row>
    <row r="18" customFormat="false" ht="14.25" hidden="false" customHeight="true" outlineLevel="0" collapsed="false">
      <c r="A18" s="12" t="n">
        <v>7</v>
      </c>
      <c r="B18" s="13" t="n">
        <v>0.85</v>
      </c>
      <c r="D18" s="12" t="n">
        <v>7</v>
      </c>
      <c r="E18" s="13" t="n">
        <v>0.75</v>
      </c>
      <c r="I18" s="12" t="n">
        <v>7</v>
      </c>
      <c r="J18" s="13" t="n">
        <v>1.05</v>
      </c>
    </row>
    <row r="19" customFormat="false" ht="14.25" hidden="false" customHeight="true" outlineLevel="0" collapsed="false">
      <c r="A19" s="12" t="n">
        <v>8</v>
      </c>
      <c r="B19" s="13" t="n">
        <v>0.9</v>
      </c>
      <c r="D19" s="12" t="n">
        <v>8</v>
      </c>
      <c r="E19" s="13" t="n">
        <v>0.7</v>
      </c>
      <c r="I19" s="12" t="n">
        <v>8</v>
      </c>
      <c r="J19" s="13" t="n">
        <v>1.1</v>
      </c>
    </row>
    <row r="20" customFormat="false" ht="14.25" hidden="false" customHeight="true" outlineLevel="0" collapsed="false">
      <c r="A20" s="12" t="n">
        <v>9</v>
      </c>
      <c r="B20" s="13" t="n">
        <v>0.95</v>
      </c>
      <c r="D20" s="12" t="n">
        <v>9</v>
      </c>
      <c r="E20" s="13" t="n">
        <v>0.65</v>
      </c>
      <c r="I20" s="12" t="n">
        <v>9</v>
      </c>
      <c r="J20" s="13" t="n">
        <v>1.15</v>
      </c>
    </row>
    <row r="21" customFormat="false" ht="14.25" hidden="false" customHeight="true" outlineLevel="0" collapsed="false">
      <c r="A21" s="12" t="n">
        <v>10</v>
      </c>
      <c r="B21" s="13" t="n">
        <v>1</v>
      </c>
      <c r="D21" s="12" t="n">
        <v>10</v>
      </c>
      <c r="E21" s="13" t="n">
        <v>0.6</v>
      </c>
      <c r="I21" s="12" t="n">
        <v>10</v>
      </c>
      <c r="J21" s="13" t="n">
        <v>1.2</v>
      </c>
    </row>
    <row r="22" customFormat="false" ht="14.25" hidden="false" customHeight="true" outlineLevel="0" collapsed="false">
      <c r="A22" s="15"/>
    </row>
    <row r="23" customFormat="false" ht="14.25" hidden="false" customHeight="true" outlineLevel="0" collapsed="false">
      <c r="A23" s="15" t="s">
        <v>35</v>
      </c>
    </row>
    <row r="24" customFormat="false" ht="14.25" hidden="false" customHeight="true" outlineLevel="0" collapsed="false">
      <c r="A24" s="15" t="s">
        <v>36</v>
      </c>
    </row>
    <row r="25" customFormat="false" ht="14.25" hidden="false" customHeight="true" outlineLevel="0" collapsed="false">
      <c r="A25" s="15"/>
    </row>
    <row r="26" customFormat="false" ht="14.25" hidden="false" customHeight="true" outlineLevel="0" collapsed="false">
      <c r="A26" s="15" t="s">
        <v>37</v>
      </c>
    </row>
    <row r="27" customFormat="false" ht="14.25" hidden="false" customHeight="true" outlineLevel="0" collapsed="false">
      <c r="A27" s="15" t="s">
        <v>38</v>
      </c>
    </row>
    <row r="28" customFormat="false" ht="14.25" hidden="false" customHeight="true" outlineLevel="0" collapsed="false">
      <c r="A28" s="15"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9" activeCellId="0" sqref="B19"/>
    </sheetView>
  </sheetViews>
  <sheetFormatPr defaultColWidth="8.63671875" defaultRowHeight="14.25" customHeight="false" zeroHeight="false" outlineLevelRow="0" outlineLevelCol="0"/>
  <cols>
    <col collapsed="false" customWidth="true" hidden="false" outlineLevel="0" max="1" min="1" style="1" width="22"/>
    <col collapsed="false" customWidth="true" hidden="false" outlineLevel="0" max="6" min="2" style="1" width="34"/>
  </cols>
  <sheetData>
    <row r="1" customFormat="false" ht="15" hidden="false" customHeight="true" outlineLevel="0" collapsed="false">
      <c r="A1" s="5" t="s">
        <v>40</v>
      </c>
    </row>
    <row r="2" customFormat="false" ht="14.25" hidden="false" customHeight="true" outlineLevel="0" collapsed="false">
      <c r="B2" s="1" t="s">
        <v>41</v>
      </c>
      <c r="C2" s="1" t="s">
        <v>42</v>
      </c>
      <c r="D2" s="1" t="s">
        <v>43</v>
      </c>
      <c r="E2" s="1" t="s">
        <v>44</v>
      </c>
      <c r="F2" s="1" t="s">
        <v>45</v>
      </c>
      <c r="G2" s="1" t="s">
        <v>46</v>
      </c>
      <c r="H2" s="1" t="s">
        <v>47</v>
      </c>
      <c r="I2" s="1" t="s">
        <v>48</v>
      </c>
      <c r="J2" s="1" t="s">
        <v>49</v>
      </c>
      <c r="K2" s="1" t="s">
        <v>50</v>
      </c>
    </row>
    <row r="3" customFormat="false" ht="14.25" hidden="false" customHeight="true" outlineLevel="0" collapsed="false">
      <c r="A3" s="16" t="s">
        <v>51</v>
      </c>
      <c r="B3" s="16" t="s">
        <v>41</v>
      </c>
      <c r="C3" s="16" t="s">
        <v>42</v>
      </c>
      <c r="D3" s="16" t="s">
        <v>43</v>
      </c>
      <c r="E3" s="16" t="s">
        <v>44</v>
      </c>
      <c r="F3" s="16" t="s">
        <v>45</v>
      </c>
    </row>
    <row r="4" customFormat="false" ht="43.5" hidden="false" customHeight="true" outlineLevel="0" collapsed="false">
      <c r="A4" s="17" t="s">
        <v>25</v>
      </c>
      <c r="B4" s="18" t="s">
        <v>52</v>
      </c>
      <c r="C4" s="18" t="s">
        <v>53</v>
      </c>
      <c r="D4" s="18" t="s">
        <v>54</v>
      </c>
      <c r="E4" s="18" t="s">
        <v>55</v>
      </c>
      <c r="F4" s="18" t="s">
        <v>56</v>
      </c>
      <c r="G4" s="18" t="s">
        <v>57</v>
      </c>
      <c r="H4" s="18" t="s">
        <v>58</v>
      </c>
      <c r="I4" s="18" t="s">
        <v>59</v>
      </c>
      <c r="J4" s="18" t="s">
        <v>60</v>
      </c>
      <c r="K4" s="18" t="s">
        <v>61</v>
      </c>
    </row>
    <row r="5" customFormat="false" ht="43.5" hidden="false" customHeight="true" outlineLevel="0" collapsed="false">
      <c r="A5" s="17" t="s">
        <v>26</v>
      </c>
      <c r="B5" s="18" t="s">
        <v>62</v>
      </c>
      <c r="C5" s="18" t="s">
        <v>63</v>
      </c>
      <c r="D5" s="18" t="s">
        <v>64</v>
      </c>
      <c r="E5" s="18" t="s">
        <v>65</v>
      </c>
      <c r="F5" s="18" t="s">
        <v>66</v>
      </c>
      <c r="G5" s="18" t="s">
        <v>67</v>
      </c>
      <c r="H5" s="18" t="s">
        <v>68</v>
      </c>
      <c r="I5" s="18" t="s">
        <v>69</v>
      </c>
      <c r="J5" s="18" t="s">
        <v>70</v>
      </c>
      <c r="K5" s="18" t="s">
        <v>71</v>
      </c>
    </row>
    <row r="6" customFormat="false" ht="43.5" hidden="false" customHeight="true" outlineLevel="0" collapsed="false">
      <c r="A6" s="17" t="s">
        <v>27</v>
      </c>
      <c r="B6" s="18" t="s">
        <v>72</v>
      </c>
      <c r="C6" s="18" t="s">
        <v>73</v>
      </c>
      <c r="D6" s="18" t="s">
        <v>74</v>
      </c>
      <c r="E6" s="18" t="s">
        <v>75</v>
      </c>
      <c r="F6" s="18" t="s">
        <v>76</v>
      </c>
      <c r="G6" s="18" t="s">
        <v>77</v>
      </c>
      <c r="H6" s="18" t="s">
        <v>78</v>
      </c>
      <c r="I6" s="18" t="s">
        <v>79</v>
      </c>
      <c r="J6" s="18" t="s">
        <v>80</v>
      </c>
      <c r="K6" s="18" t="s">
        <v>81</v>
      </c>
    </row>
    <row r="7" customFormat="false" ht="43.5" hidden="false" customHeight="true" outlineLevel="0" collapsed="false">
      <c r="A7" s="17" t="s">
        <v>28</v>
      </c>
      <c r="B7" s="18" t="s">
        <v>82</v>
      </c>
      <c r="C7" s="18" t="s">
        <v>83</v>
      </c>
      <c r="D7" s="18" t="s">
        <v>84</v>
      </c>
      <c r="E7" s="18" t="s">
        <v>85</v>
      </c>
      <c r="F7" s="18" t="s">
        <v>86</v>
      </c>
      <c r="G7" s="18" t="s">
        <v>87</v>
      </c>
      <c r="H7" s="18" t="s">
        <v>88</v>
      </c>
      <c r="I7" s="18" t="s">
        <v>89</v>
      </c>
      <c r="J7" s="18" t="s">
        <v>90</v>
      </c>
      <c r="K7" s="18" t="s">
        <v>91</v>
      </c>
    </row>
    <row r="8" customFormat="false" ht="43.5" hidden="false" customHeight="true" outlineLevel="0" collapsed="false">
      <c r="A8" s="17" t="s">
        <v>29</v>
      </c>
      <c r="B8" s="18" t="s">
        <v>92</v>
      </c>
      <c r="C8" s="18" t="s">
        <v>93</v>
      </c>
      <c r="D8" s="18" t="s">
        <v>94</v>
      </c>
      <c r="E8" s="18" t="s">
        <v>95</v>
      </c>
      <c r="F8" s="18" t="s">
        <v>96</v>
      </c>
      <c r="G8" s="18" t="s">
        <v>97</v>
      </c>
      <c r="H8" s="18" t="s">
        <v>98</v>
      </c>
      <c r="I8" s="18" t="s">
        <v>99</v>
      </c>
      <c r="J8" s="18" t="s">
        <v>100</v>
      </c>
      <c r="K8" s="18" t="s">
        <v>101</v>
      </c>
    </row>
    <row r="9" customFormat="false" ht="43.5" hidden="false" customHeight="true" outlineLevel="0" collapsed="false">
      <c r="A9" s="17" t="s">
        <v>102</v>
      </c>
      <c r="B9" s="18" t="s">
        <v>103</v>
      </c>
      <c r="C9" s="18" t="s">
        <v>104</v>
      </c>
      <c r="D9" s="18" t="s">
        <v>105</v>
      </c>
      <c r="E9" s="18" t="s">
        <v>106</v>
      </c>
      <c r="F9" s="18" t="s">
        <v>107</v>
      </c>
      <c r="G9" s="18" t="s">
        <v>108</v>
      </c>
      <c r="H9" s="18" t="s">
        <v>109</v>
      </c>
      <c r="I9" s="18" t="s">
        <v>110</v>
      </c>
      <c r="J9" s="18" t="s">
        <v>111</v>
      </c>
      <c r="K9" s="18" t="s">
        <v>112</v>
      </c>
    </row>
    <row r="10" customFormat="false" ht="43.5" hidden="false" customHeight="true" outlineLevel="0" collapsed="false">
      <c r="A10" s="17" t="s">
        <v>113</v>
      </c>
      <c r="B10" s="18" t="s">
        <v>114</v>
      </c>
      <c r="C10" s="18" t="s">
        <v>115</v>
      </c>
      <c r="D10" s="18" t="s">
        <v>116</v>
      </c>
      <c r="E10" s="18" t="s">
        <v>117</v>
      </c>
      <c r="F10" s="18" t="s">
        <v>118</v>
      </c>
      <c r="G10" s="18" t="s">
        <v>119</v>
      </c>
      <c r="H10" s="18" t="s">
        <v>120</v>
      </c>
      <c r="I10" s="18" t="s">
        <v>121</v>
      </c>
      <c r="J10" s="18" t="s">
        <v>122</v>
      </c>
      <c r="K10" s="18" t="s">
        <v>123</v>
      </c>
    </row>
    <row r="11" customFormat="false" ht="43.5" hidden="false" customHeight="true" outlineLevel="0" collapsed="false">
      <c r="A11" s="17" t="s">
        <v>124</v>
      </c>
      <c r="B11" s="18" t="s">
        <v>125</v>
      </c>
      <c r="C11" s="18" t="s">
        <v>126</v>
      </c>
      <c r="D11" s="18" t="s">
        <v>127</v>
      </c>
      <c r="E11" s="18" t="s">
        <v>128</v>
      </c>
      <c r="F11" s="18" t="s">
        <v>129</v>
      </c>
      <c r="G11" s="18" t="s">
        <v>130</v>
      </c>
      <c r="H11" s="18" t="s">
        <v>131</v>
      </c>
      <c r="I11" s="18" t="s">
        <v>132</v>
      </c>
      <c r="J11" s="18" t="s">
        <v>133</v>
      </c>
      <c r="K11" s="18" t="s">
        <v>134</v>
      </c>
    </row>
    <row r="12" customFormat="false" ht="39" hidden="false" customHeight="true" outlineLevel="0" collapsed="false">
      <c r="A12" s="19" t="s">
        <v>135</v>
      </c>
      <c r="B12" s="3" t="s">
        <v>136</v>
      </c>
      <c r="C12" s="3" t="s">
        <v>137</v>
      </c>
      <c r="D12" s="3" t="s">
        <v>138</v>
      </c>
      <c r="E12" s="3" t="s">
        <v>139</v>
      </c>
      <c r="F12" s="3" t="s">
        <v>140</v>
      </c>
      <c r="G12" s="3" t="s">
        <v>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3" topLeftCell="C10" activePane="bottomRight" state="frozen"/>
      <selection pane="topLeft" activeCell="A1" activeCellId="0" sqref="A1"/>
      <selection pane="topRight" activeCell="C1" activeCellId="0" sqref="C1"/>
      <selection pane="bottomLeft" activeCell="A10" activeCellId="0" sqref="A10"/>
      <selection pane="bottomRight" activeCell="F11" activeCellId="0" sqref="F11"/>
    </sheetView>
  </sheetViews>
  <sheetFormatPr defaultColWidth="8.63671875" defaultRowHeight="14.25" customHeight="false" zeroHeight="false" outlineLevelRow="0" outlineLevelCol="0"/>
  <cols>
    <col collapsed="false" customWidth="true" hidden="false" outlineLevel="0" max="1" min="1" style="1" width="12"/>
    <col collapsed="false" customWidth="true" hidden="false" outlineLevel="0" max="2" min="2" style="20" width="44.64"/>
    <col collapsed="false" customWidth="true" hidden="false" outlineLevel="0" max="3" min="3" style="1" width="24"/>
    <col collapsed="false" customWidth="true" hidden="false" outlineLevel="0" max="4" min="4" style="1" width="14"/>
    <col collapsed="false" customWidth="true" hidden="false" outlineLevel="0" max="5" min="5" style="1" width="16"/>
    <col collapsed="false" customWidth="true" hidden="false" outlineLevel="0" max="6" min="6" style="1" width="12"/>
    <col collapsed="false" customWidth="true" hidden="false" outlineLevel="0" max="8" min="7" style="1" width="10"/>
    <col collapsed="false" customWidth="true" hidden="false" outlineLevel="0" max="11" min="9" style="1" width="12"/>
    <col collapsed="false" customWidth="true" hidden="false" outlineLevel="0" max="12" min="12" style="1" width="11"/>
    <col collapsed="false" customWidth="true" hidden="false" outlineLevel="0" max="14" min="13" style="1" width="9"/>
    <col collapsed="false" customWidth="true" hidden="false" outlineLevel="0" max="16" min="15" style="1" width="36"/>
    <col collapsed="false" customWidth="true" hidden="false" outlineLevel="0" max="18" min="17" style="1" width="12"/>
    <col collapsed="false" customWidth="true" hidden="false" outlineLevel="0" max="19" min="19" style="1" width="10"/>
    <col collapsed="false" customWidth="true" hidden="false" outlineLevel="0" max="20" min="20" style="1" width="12"/>
    <col collapsed="false" customWidth="true" hidden="false" outlineLevel="0" max="21" min="21" style="1" width="8"/>
    <col collapsed="false" customWidth="true" hidden="false" outlineLevel="0" max="24" min="22" style="1" width="14"/>
  </cols>
  <sheetData>
    <row r="1" customFormat="false" ht="15" hidden="false" customHeight="true" outlineLevel="0" collapsed="false">
      <c r="A1" s="5" t="s">
        <v>142</v>
      </c>
    </row>
    <row r="2" customFormat="false" ht="14.25" hidden="false" customHeight="true" outlineLevel="0" collapsed="false">
      <c r="A2" s="15" t="s">
        <v>143</v>
      </c>
    </row>
    <row r="3" customFormat="false" ht="39.75" hidden="false" customHeight="true" outlineLevel="0" collapsed="false">
      <c r="A3" s="21" t="s">
        <v>144</v>
      </c>
      <c r="B3" s="21" t="s">
        <v>145</v>
      </c>
      <c r="C3" s="21" t="s">
        <v>146</v>
      </c>
      <c r="D3" s="21" t="s">
        <v>147</v>
      </c>
      <c r="E3" s="21" t="s">
        <v>148</v>
      </c>
      <c r="F3" s="21" t="s">
        <v>149</v>
      </c>
      <c r="G3" s="21" t="s">
        <v>150</v>
      </c>
      <c r="H3" s="21" t="s">
        <v>151</v>
      </c>
      <c r="I3" s="21" t="s">
        <v>152</v>
      </c>
      <c r="J3" s="21" t="s">
        <v>153</v>
      </c>
      <c r="K3" s="21" t="s">
        <v>154</v>
      </c>
      <c r="L3" s="21" t="s">
        <v>155</v>
      </c>
      <c r="M3" s="21" t="s">
        <v>156</v>
      </c>
      <c r="N3" s="21" t="s">
        <v>157</v>
      </c>
      <c r="O3" s="21" t="s">
        <v>158</v>
      </c>
      <c r="P3" s="21" t="s">
        <v>159</v>
      </c>
      <c r="Q3" s="21" t="s">
        <v>160</v>
      </c>
      <c r="R3" s="21" t="s">
        <v>161</v>
      </c>
      <c r="S3" s="21" t="s">
        <v>162</v>
      </c>
      <c r="T3" s="21" t="s">
        <v>163</v>
      </c>
      <c r="U3" s="21" t="s">
        <v>164</v>
      </c>
      <c r="V3" s="21" t="s">
        <v>165</v>
      </c>
      <c r="W3" s="21" t="s">
        <v>166</v>
      </c>
      <c r="X3" s="21" t="s">
        <v>167</v>
      </c>
    </row>
    <row r="4" customFormat="false" ht="409.5" hidden="false" customHeight="true" outlineLevel="0" collapsed="false">
      <c r="A4" s="22" t="s">
        <v>168</v>
      </c>
      <c r="B4" s="23" t="s">
        <v>169</v>
      </c>
      <c r="C4" s="22" t="s">
        <v>170</v>
      </c>
      <c r="D4" s="22" t="s">
        <v>171</v>
      </c>
      <c r="E4" s="22" t="s">
        <v>172</v>
      </c>
      <c r="F4" s="24" t="n">
        <v>46210</v>
      </c>
      <c r="G4" s="25" t="n">
        <v>10</v>
      </c>
      <c r="H4" s="25" t="n">
        <v>4</v>
      </c>
      <c r="I4" s="25" t="n">
        <v>6</v>
      </c>
      <c r="J4" s="25" t="n">
        <v>10</v>
      </c>
      <c r="K4" s="25" t="n">
        <v>6</v>
      </c>
      <c r="L4" s="25" t="n">
        <v>4</v>
      </c>
      <c r="M4" s="25" t="n">
        <v>2</v>
      </c>
      <c r="N4" s="25" t="n">
        <v>2</v>
      </c>
      <c r="O4" s="26" t="s">
        <v>173</v>
      </c>
      <c r="P4" s="27" t="s">
        <v>174</v>
      </c>
      <c r="Q4" s="28" t="n">
        <f aca="false">IF(V4="Defect","",IF(COUNT(G4:K4)&lt;5,"",ROUND(G4*Config!$B$4+H4*Config!$B$5+I4*Config!$B$6+J4*Config!$B$7+K4*Config!$B$8,2)))</f>
        <v>7.1</v>
      </c>
      <c r="R4" s="28" t="n">
        <f aca="false">IF(L4="","",VLOOKUP(L4,Config!$A$12:$B$21,2,0))</f>
        <v>0.65</v>
      </c>
      <c r="S4" s="28" t="n">
        <f aca="false">IF(N4="","",VLOOKUP(N4,Config!$D$12:$E$21,2,0))</f>
        <v>1</v>
      </c>
      <c r="T4" s="29" t="n">
        <f aca="false">IF(V4="Defect",IF(OR(X4="",G4="",R4=""),"",ROUND(MIN(100,VLOOKUP(X4,Config!$G$12:$H$16,2,0)*VLOOKUP(G4,Config!$I$12:$J$21,2,0)*R4),1)),IF(OR(Q4="",R4="",S4="",M4=""),"",ROUND(MIN(100,Q4*R4*S4/M4*20),1)))</f>
        <v>46.2</v>
      </c>
      <c r="U4" s="30" t="n">
        <f aca="false">IF(T4="","",RANK(T4,$T$4:$T$52))</f>
        <v>2</v>
      </c>
      <c r="V4" s="22" t="s">
        <v>175</v>
      </c>
    </row>
    <row r="5" customFormat="false" ht="409.5" hidden="false" customHeight="true" outlineLevel="0" collapsed="false">
      <c r="A5" s="22" t="s">
        <v>176</v>
      </c>
      <c r="B5" s="23" t="s">
        <v>177</v>
      </c>
      <c r="C5" s="22" t="s">
        <v>178</v>
      </c>
      <c r="D5" s="22" t="s">
        <v>171</v>
      </c>
      <c r="E5" s="22" t="s">
        <v>172</v>
      </c>
      <c r="F5" s="22" t="s">
        <v>179</v>
      </c>
      <c r="G5" s="25" t="n">
        <v>6</v>
      </c>
      <c r="H5" s="25" t="n">
        <v>6</v>
      </c>
      <c r="I5" s="25" t="n">
        <v>4</v>
      </c>
      <c r="J5" s="25" t="n">
        <v>8</v>
      </c>
      <c r="K5" s="25" t="n">
        <v>6</v>
      </c>
      <c r="L5" s="25" t="n">
        <v>4</v>
      </c>
      <c r="M5" s="25" t="n">
        <v>4</v>
      </c>
      <c r="N5" s="25" t="n">
        <v>4</v>
      </c>
      <c r="O5" s="27" t="s">
        <v>180</v>
      </c>
      <c r="P5" s="27" t="s">
        <v>181</v>
      </c>
      <c r="Q5" s="28" t="n">
        <f aca="false">IF(V5="Defect","",IF(COUNT(G5:K5)&lt;5,"",ROUND(G5*Config!$B$4+H5*Config!$B$5+I5*Config!$B$6+J5*Config!$B$7+K5*Config!$B$8,2)))</f>
        <v>5.9</v>
      </c>
      <c r="R5" s="28" t="n">
        <f aca="false">IF(L5="","",VLOOKUP(L5,Config!$A$12:$B$21,2,0))</f>
        <v>0.65</v>
      </c>
      <c r="S5" s="28" t="n">
        <f aca="false">IF(N5="","",VLOOKUP(N5,Config!$D$12:$E$21,2,0))</f>
        <v>0.9</v>
      </c>
      <c r="T5" s="29" t="n">
        <f aca="false">IF(V5="Defect",IF(OR(X5="",G5="",R5=""),"",ROUND(MIN(100,VLOOKUP(X5,Config!$G$12:$H$16,2,0)*VLOOKUP(G5,Config!$I$12:$J$21,2,0)*R5),1)),IF(OR(Q5="",R5="",S5="",M5=""),"",ROUND(MIN(100,Q5*R5*S5/M5*20),1)))</f>
        <v>17.3</v>
      </c>
      <c r="U5" s="30" t="n">
        <f aca="false">IF(T5="","",RANK(T5,$T$4:$T$52))</f>
        <v>10</v>
      </c>
      <c r="V5" s="22" t="s">
        <v>175</v>
      </c>
    </row>
    <row r="6" customFormat="false" ht="307.5" hidden="false" customHeight="true" outlineLevel="0" collapsed="false">
      <c r="A6" s="22" t="s">
        <v>182</v>
      </c>
      <c r="B6" s="23" t="s">
        <v>183</v>
      </c>
      <c r="C6" s="22" t="s">
        <v>184</v>
      </c>
      <c r="D6" s="22" t="s">
        <v>171</v>
      </c>
      <c r="E6" s="22" t="s">
        <v>172</v>
      </c>
      <c r="F6" s="22" t="s">
        <v>179</v>
      </c>
      <c r="G6" s="25" t="n">
        <v>6</v>
      </c>
      <c r="H6" s="25" t="n">
        <v>6</v>
      </c>
      <c r="I6" s="25" t="n">
        <v>4</v>
      </c>
      <c r="J6" s="25" t="n">
        <v>10</v>
      </c>
      <c r="K6" s="25" t="n">
        <v>6</v>
      </c>
      <c r="L6" s="25" t="n">
        <v>4</v>
      </c>
      <c r="M6" s="25" t="n">
        <v>4</v>
      </c>
      <c r="N6" s="25" t="n">
        <v>2</v>
      </c>
      <c r="O6" s="27" t="s">
        <v>185</v>
      </c>
      <c r="P6" s="27" t="s">
        <v>186</v>
      </c>
      <c r="Q6" s="28" t="n">
        <f aca="false">IF(V6="Defect","",IF(COUNT(G6:K6)&lt;5,"",ROUND(G6*Config!$B$4+H6*Config!$B$5+I6*Config!$B$6+J6*Config!$B$7+K6*Config!$B$8,2)))</f>
        <v>6.3</v>
      </c>
      <c r="R6" s="28" t="n">
        <f aca="false">IF(L6="","",VLOOKUP(L6,Config!$A$12:$B$21,2,0))</f>
        <v>0.65</v>
      </c>
      <c r="S6" s="28" t="n">
        <f aca="false">IF(N6="","",VLOOKUP(N6,Config!$D$12:$E$21,2,0))</f>
        <v>1</v>
      </c>
      <c r="T6" s="29" t="n">
        <f aca="false">IF(V6="Defect",IF(OR(X6="",G6="",R6=""),"",ROUND(MIN(100,VLOOKUP(X6,Config!$G$12:$H$16,2,0)*VLOOKUP(G6,Config!$I$12:$J$21,2,0)*R6),1)),IF(OR(Q6="",R6="",S6="",M6=""),"",ROUND(MIN(100,Q6*R6*S6/M6*20),1)))</f>
        <v>20.5</v>
      </c>
      <c r="U6" s="30" t="n">
        <f aca="false">IF(T6="","",RANK(T6,$T$4:$T$52))</f>
        <v>9</v>
      </c>
      <c r="V6" s="22" t="s">
        <v>175</v>
      </c>
    </row>
    <row r="7" customFormat="false" ht="349.5" hidden="false" customHeight="true" outlineLevel="0" collapsed="false">
      <c r="A7" s="22" t="s">
        <v>187</v>
      </c>
      <c r="B7" s="23" t="s">
        <v>188</v>
      </c>
      <c r="C7" s="22" t="s">
        <v>189</v>
      </c>
      <c r="D7" s="22" t="s">
        <v>190</v>
      </c>
      <c r="E7" s="22" t="s">
        <v>172</v>
      </c>
      <c r="F7" s="22" t="s">
        <v>179</v>
      </c>
      <c r="G7" s="25" t="n">
        <v>8</v>
      </c>
      <c r="H7" s="25" t="n">
        <v>8</v>
      </c>
      <c r="I7" s="25" t="n">
        <v>6</v>
      </c>
      <c r="J7" s="25" t="n">
        <v>10</v>
      </c>
      <c r="K7" s="25" t="n">
        <v>6</v>
      </c>
      <c r="L7" s="25" t="n">
        <v>4</v>
      </c>
      <c r="M7" s="25" t="n">
        <v>8</v>
      </c>
      <c r="N7" s="25" t="n">
        <v>6</v>
      </c>
      <c r="O7" s="27" t="s">
        <v>191</v>
      </c>
      <c r="P7" s="27" t="s">
        <v>192</v>
      </c>
      <c r="Q7" s="28" t="n">
        <f aca="false">IF(V7="Defect","",IF(COUNT(G7:K7)&lt;5,"",ROUND(G7*Config!$B$4+H7*Config!$B$5+I7*Config!$B$6+J7*Config!$B$7+K7*Config!$B$8,2)))</f>
        <v>7.7</v>
      </c>
      <c r="R7" s="28" t="n">
        <f aca="false">IF(L7="","",VLOOKUP(L7,Config!$A$12:$B$21,2,0))</f>
        <v>0.65</v>
      </c>
      <c r="S7" s="28" t="n">
        <f aca="false">IF(N7="","",VLOOKUP(N7,Config!$D$12:$E$21,2,0))</f>
        <v>0.8</v>
      </c>
      <c r="T7" s="29" t="n">
        <f aca="false">IF(V7="Defect",IF(OR(X7="",G7="",R7=""),"",ROUND(MIN(100,VLOOKUP(X7,Config!$G$12:$H$16,2,0)*VLOOKUP(G7,Config!$I$12:$J$21,2,0)*R7),1)),IF(OR(Q7="",R7="",S7="",M7=""),"",ROUND(MIN(100,Q7*R7*S7/M7*20),1)))</f>
        <v>10</v>
      </c>
      <c r="U7" s="30" t="n">
        <f aca="false">IF(T7="","",RANK(T7,$T$4:$T$52))</f>
        <v>12</v>
      </c>
      <c r="V7" s="22" t="s">
        <v>175</v>
      </c>
    </row>
    <row r="8" customFormat="false" ht="98.25" hidden="false" customHeight="true" outlineLevel="0" collapsed="false">
      <c r="A8" s="22" t="s">
        <v>193</v>
      </c>
      <c r="B8" s="31" t="s">
        <v>194</v>
      </c>
      <c r="C8" s="22" t="s">
        <v>195</v>
      </c>
      <c r="D8" s="22" t="s">
        <v>171</v>
      </c>
      <c r="E8" s="22" t="s">
        <v>196</v>
      </c>
      <c r="F8" s="32" t="n">
        <v>46214</v>
      </c>
      <c r="G8" s="25" t="n">
        <v>8</v>
      </c>
      <c r="H8" s="25" t="n">
        <v>3</v>
      </c>
      <c r="I8" s="25" t="n">
        <v>2</v>
      </c>
      <c r="J8" s="25" t="n">
        <v>4</v>
      </c>
      <c r="K8" s="25" t="n">
        <v>6</v>
      </c>
      <c r="L8" s="25" t="n">
        <v>8</v>
      </c>
      <c r="M8" s="25" t="n">
        <v>2</v>
      </c>
      <c r="N8" s="25" t="n">
        <v>2</v>
      </c>
      <c r="O8" s="27" t="s">
        <v>197</v>
      </c>
      <c r="P8" s="27" t="s">
        <v>198</v>
      </c>
      <c r="Q8" s="28" t="str">
        <f aca="false">IF(V8="Defect","",IF(COUNT(G8:K8)&lt;5,"",ROUND(G8*Config!$B$4+H8*Config!$B$5+I8*Config!$B$6+J8*Config!$B$7+K8*Config!$B$8,2)))</f>
        <v/>
      </c>
      <c r="R8" s="28" t="n">
        <f aca="false">IF(L8="","",VLOOKUP(L8,Config!$A$12:$B$21,2,0))</f>
        <v>0.9</v>
      </c>
      <c r="S8" s="28" t="n">
        <f aca="false">IF(N8="","",VLOOKUP(N8,Config!$D$12:$E$21,2,0))</f>
        <v>1</v>
      </c>
      <c r="T8" s="29" t="n">
        <f aca="false">IF(V8="Defect",IF(OR(X8="",G8="",R8=""),"",ROUND(MIN(100,VLOOKUP(X8,Config!$G$12:$H$16,2,0)*VLOOKUP(G8,Config!$I$12:$J$21,2,0)*R8),1)),IF(OR(Q8="",R8="",S8="",M8=""),"",ROUND(MIN(100,Q8*R8*S8/M8*20),1)))</f>
        <v>29.7</v>
      </c>
      <c r="U8" s="30" t="n">
        <f aca="false">IF(T8="","",RANK(T8,$T$4:$T$52))</f>
        <v>4</v>
      </c>
      <c r="V8" s="33" t="s">
        <v>199</v>
      </c>
      <c r="W8" s="1" t="s">
        <v>200</v>
      </c>
      <c r="X8" s="1" t="n">
        <v>2</v>
      </c>
    </row>
    <row r="9" customFormat="false" ht="98.25" hidden="false" customHeight="true" outlineLevel="0" collapsed="false">
      <c r="A9" s="34" t="s">
        <v>201</v>
      </c>
      <c r="B9" s="31" t="s">
        <v>202</v>
      </c>
      <c r="C9" s="22" t="s">
        <v>203</v>
      </c>
      <c r="D9" s="22" t="s">
        <v>190</v>
      </c>
      <c r="E9" s="22" t="s">
        <v>172</v>
      </c>
      <c r="F9" s="32" t="n">
        <v>46214</v>
      </c>
      <c r="G9" s="25" t="n">
        <v>8</v>
      </c>
      <c r="H9" s="25" t="n">
        <v>8</v>
      </c>
      <c r="I9" s="25" t="n">
        <v>10</v>
      </c>
      <c r="J9" s="25" t="n">
        <v>5</v>
      </c>
      <c r="K9" s="25" t="n">
        <v>10</v>
      </c>
      <c r="L9" s="25" t="n">
        <v>4</v>
      </c>
      <c r="M9" s="25" t="n">
        <v>5</v>
      </c>
      <c r="N9" s="25" t="n">
        <v>1</v>
      </c>
      <c r="O9" s="27" t="s">
        <v>204</v>
      </c>
      <c r="P9" s="27" t="s">
        <v>205</v>
      </c>
      <c r="Q9" s="28" t="n">
        <f aca="false">IF(V9="Defect","",IF(COUNT(G9:K9)&lt;5,"",ROUND(G9*Config!$B$4+H9*Config!$B$5+I9*Config!$B$6+J9*Config!$B$7+K9*Config!$B$8,2)))</f>
        <v>8.1</v>
      </c>
      <c r="R9" s="28" t="n">
        <f aca="false">IF(L9="","",VLOOKUP(L9,Config!$A$12:$B$21,2,0))</f>
        <v>0.65</v>
      </c>
      <c r="S9" s="28" t="n">
        <f aca="false">IF(N9="","",VLOOKUP(N9,Config!$D$12:$E$21,2,0))</f>
        <v>1</v>
      </c>
      <c r="T9" s="29" t="n">
        <f aca="false">IF(V9="Defect",IF(OR(X9="",G9="",R9=""),"",ROUND(MIN(100,VLOOKUP(X9,Config!$G$12:$H$16,2,0)*VLOOKUP(G9,Config!$I$12:$J$21,2,0)*R9),1)),IF(OR(Q9="",R9="",S9="",M9=""),"",ROUND(MIN(100,Q9*R9*S9/M9*20),1)))</f>
        <v>21.1</v>
      </c>
      <c r="U9" s="30" t="n">
        <f aca="false">IF(T9="","",RANK(T9,$T$4:$T$52))</f>
        <v>8</v>
      </c>
      <c r="V9" s="33" t="s">
        <v>175</v>
      </c>
    </row>
    <row r="10" customFormat="false" ht="409.5" hidden="false" customHeight="true" outlineLevel="0" collapsed="false">
      <c r="A10" s="22" t="s">
        <v>206</v>
      </c>
      <c r="B10" s="23" t="s">
        <v>207</v>
      </c>
      <c r="C10" s="35" t="s">
        <v>208</v>
      </c>
      <c r="D10" s="22" t="s">
        <v>171</v>
      </c>
      <c r="E10" s="22" t="s">
        <v>172</v>
      </c>
      <c r="F10" s="22" t="s">
        <v>209</v>
      </c>
      <c r="G10" s="25" t="n">
        <v>5</v>
      </c>
      <c r="H10" s="25"/>
      <c r="I10" s="25"/>
      <c r="J10" s="25" t="n">
        <v>1</v>
      </c>
      <c r="K10" s="25" t="n">
        <v>5</v>
      </c>
      <c r="L10" s="25" t="n">
        <v>7</v>
      </c>
      <c r="M10" s="25" t="n">
        <v>2</v>
      </c>
      <c r="N10" s="25" t="n">
        <v>1</v>
      </c>
      <c r="O10" s="27" t="s">
        <v>210</v>
      </c>
      <c r="P10" s="27" t="s">
        <v>211</v>
      </c>
      <c r="Q10" s="28" t="str">
        <f aca="false">IF(V10="Defect","",IF(COUNT(G10:K10)&lt;5,"",ROUND(G10*Config!$B$4+H10*Config!$B$5+I10*Config!$B$6+J10*Config!$B$7+K10*Config!$B$8,2)))</f>
        <v/>
      </c>
      <c r="R10" s="28" t="n">
        <f aca="false">IF(L10="","",VLOOKUP(L10,Config!$A$12:$B$21,2,0))</f>
        <v>0.85</v>
      </c>
      <c r="S10" s="28" t="n">
        <f aca="false">IF(N10="","",VLOOKUP(N10,Config!$D$12:$E$21,2,0))</f>
        <v>1</v>
      </c>
      <c r="T10" s="29" t="n">
        <f aca="false">IF(V10="Defect",IF(OR(X10="",G10="",R10=""),"",ROUND(MIN(100,VLOOKUP(X10,Config!$G$12:$H$16,2,0)*VLOOKUP(G10,Config!$I$12:$J$21,2,0)*R10),1)),IF(OR(Q10="",R10="",S10="",M10=""),"",ROUND(MIN(100,Q10*R10*S10/M10*20),1)))</f>
        <v>24.2</v>
      </c>
      <c r="U10" s="30" t="n">
        <f aca="false">IF(T10="","",RANK(T10,$T$4:$T$52))</f>
        <v>5</v>
      </c>
      <c r="V10" s="33" t="s">
        <v>199</v>
      </c>
      <c r="W10" s="1" t="s">
        <v>200</v>
      </c>
      <c r="X10" s="1" t="n">
        <v>2</v>
      </c>
    </row>
    <row r="11" customFormat="false" ht="56.25" hidden="false" customHeight="true" outlineLevel="0" collapsed="false">
      <c r="A11" s="22" t="s">
        <v>212</v>
      </c>
      <c r="B11" s="23" t="s">
        <v>213</v>
      </c>
      <c r="C11" s="22" t="s">
        <v>214</v>
      </c>
      <c r="D11" s="22" t="s">
        <v>171</v>
      </c>
      <c r="E11" s="22" t="s">
        <v>196</v>
      </c>
      <c r="F11" s="22" t="s">
        <v>215</v>
      </c>
      <c r="G11" s="25" t="n">
        <v>6</v>
      </c>
      <c r="H11" s="25" t="n">
        <v>7</v>
      </c>
      <c r="I11" s="25" t="n">
        <v>6</v>
      </c>
      <c r="J11" s="25" t="n">
        <v>7</v>
      </c>
      <c r="K11" s="25" t="n">
        <v>4</v>
      </c>
      <c r="L11" s="25" t="n">
        <v>5</v>
      </c>
      <c r="M11" s="25" t="n">
        <v>6</v>
      </c>
      <c r="N11" s="25" t="n">
        <v>5</v>
      </c>
      <c r="O11" s="27" t="s">
        <v>216</v>
      </c>
      <c r="P11" s="27" t="s">
        <v>217</v>
      </c>
      <c r="Q11" s="28" t="n">
        <f aca="false">IF(V11="Defect","",IF(COUNT(G11:K11)&lt;5,"",ROUND(G11*Config!$B$4+H11*Config!$B$5+I11*Config!$B$6+J11*Config!$B$7+K11*Config!$B$8,2)))</f>
        <v>6.25</v>
      </c>
      <c r="R11" s="28" t="n">
        <f aca="false">IF(L11="","",VLOOKUP(L11,Config!$A$12:$B$21,2,0))</f>
        <v>0.73</v>
      </c>
      <c r="S11" s="28" t="n">
        <f aca="false">IF(N11="","",VLOOKUP(N11,Config!$D$12:$E$21,2,0))</f>
        <v>0.85</v>
      </c>
      <c r="T11" s="29" t="n">
        <f aca="false">IF(V11="Defect",IF(OR(X11="",G11="",R11=""),"",ROUND(MIN(100,VLOOKUP(X11,Config!$G$12:$H$16,2,0)*VLOOKUP(G11,Config!$I$12:$J$21,2,0)*R11),1)),IF(OR(Q11="",R11="",S11="",M11=""),"",ROUND(MIN(100,Q11*R11*S11/M11*20),1)))</f>
        <v>12.9</v>
      </c>
      <c r="U11" s="30" t="n">
        <f aca="false">IF(T11="","",RANK(T11,$T$4:$T$52))</f>
        <v>11</v>
      </c>
      <c r="V11" s="33" t="s">
        <v>175</v>
      </c>
    </row>
    <row r="12" customFormat="false" ht="95.25" hidden="false" customHeight="true" outlineLevel="0" collapsed="false">
      <c r="A12" s="22" t="s">
        <v>218</v>
      </c>
      <c r="B12" s="23" t="s">
        <v>219</v>
      </c>
      <c r="C12" s="35" t="s">
        <v>220</v>
      </c>
      <c r="D12" s="22" t="s">
        <v>171</v>
      </c>
      <c r="E12" s="22" t="s">
        <v>172</v>
      </c>
      <c r="F12" s="22" t="s">
        <v>221</v>
      </c>
      <c r="G12" s="25" t="n">
        <v>6</v>
      </c>
      <c r="H12" s="25"/>
      <c r="I12" s="25"/>
      <c r="J12" s="25" t="n">
        <v>5</v>
      </c>
      <c r="K12" s="25"/>
      <c r="L12" s="25" t="n">
        <v>7</v>
      </c>
      <c r="M12" s="25"/>
      <c r="N12" s="25"/>
      <c r="O12" s="27" t="s">
        <v>222</v>
      </c>
      <c r="P12" s="27" t="s">
        <v>223</v>
      </c>
      <c r="Q12" s="28" t="str">
        <f aca="false">IF(V12="Defect","",IF(COUNT(G12:K12)&lt;5,"",ROUND(G12*Config!$B$4+H12*Config!$B$5+I12*Config!$B$6+J12*Config!$B$7+K12*Config!$B$8,2)))</f>
        <v/>
      </c>
      <c r="R12" s="28" t="n">
        <f aca="false">IF(L12="","",VLOOKUP(L12,Config!$A$12:$B$21,2,0))</f>
        <v>0.85</v>
      </c>
      <c r="S12" s="28" t="str">
        <f aca="false">IF(N12="","",VLOOKUP(N12,Config!$D$12:$E$21,2,0))</f>
        <v/>
      </c>
      <c r="T12" s="29" t="n">
        <f aca="false">IF(V12="Defect",IF(OR(X12="",G12="",R12=""),"",ROUND(MIN(100,VLOOKUP(X12,Config!$G$12:$H$16,2,0)*VLOOKUP(G12,Config!$I$12:$J$21,2,0)*R12),1)),IF(OR(Q12="",R12="",S12="",M12=""),"",ROUND(MIN(100,Q12*R12*S12/M12*20),1)))</f>
        <v>85</v>
      </c>
      <c r="U12" s="30" t="n">
        <f aca="false">IF(T12="","",RANK(T12,$T$4:$T$52))</f>
        <v>1</v>
      </c>
      <c r="V12" s="33" t="s">
        <v>199</v>
      </c>
      <c r="W12" s="1" t="s">
        <v>200</v>
      </c>
      <c r="X12" s="1" t="n">
        <v>5</v>
      </c>
    </row>
    <row r="13" customFormat="false" ht="111.75" hidden="false" customHeight="true" outlineLevel="0" collapsed="false">
      <c r="A13" s="22" t="s">
        <v>224</v>
      </c>
      <c r="B13" s="23" t="s">
        <v>225</v>
      </c>
      <c r="C13" s="22" t="s">
        <v>226</v>
      </c>
      <c r="D13" s="22" t="s">
        <v>171</v>
      </c>
      <c r="E13" s="22" t="s">
        <v>172</v>
      </c>
      <c r="F13" s="22" t="s">
        <v>215</v>
      </c>
      <c r="G13" s="25" t="n">
        <v>2</v>
      </c>
      <c r="H13" s="25" t="n">
        <v>6</v>
      </c>
      <c r="I13" s="25" t="n">
        <v>8</v>
      </c>
      <c r="J13" s="25" t="n">
        <v>7</v>
      </c>
      <c r="K13" s="25" t="n">
        <v>3</v>
      </c>
      <c r="L13" s="25" t="n">
        <v>4</v>
      </c>
      <c r="M13" s="25" t="n">
        <v>2</v>
      </c>
      <c r="N13" s="25" t="n">
        <v>2</v>
      </c>
      <c r="O13" s="27" t="s">
        <v>227</v>
      </c>
      <c r="P13" s="27" t="s">
        <v>228</v>
      </c>
      <c r="Q13" s="28" t="n">
        <f aca="false">IF(V13="Defect","",IF(COUNT(G13:K13)&lt;5,"",ROUND(G13*Config!$B$4+H13*Config!$B$5+I13*Config!$B$6+J13*Config!$B$7+K13*Config!$B$8,2)))</f>
        <v>5.6</v>
      </c>
      <c r="R13" s="28" t="n">
        <f aca="false">IF(L13="","",VLOOKUP(L13,Config!$A$12:$B$21,2,0))</f>
        <v>0.65</v>
      </c>
      <c r="S13" s="28" t="n">
        <f aca="false">IF(N13="","",VLOOKUP(N13,Config!$D$12:$E$21,2,0))</f>
        <v>1</v>
      </c>
      <c r="T13" s="29" t="n">
        <f aca="false">IF(V13="Defect",IF(OR(X13="",G13="",R13=""),"",ROUND(MIN(100,VLOOKUP(X13,Config!$G$12:$H$16,2,0)*VLOOKUP(G13,Config!$I$12:$J$21,2,0)*R13),1)),IF(OR(Q13="",R13="",S13="",M13=""),"",ROUND(MIN(100,Q13*R13*S13/M13*20),1)))</f>
        <v>36.4</v>
      </c>
      <c r="U13" s="30" t="n">
        <f aca="false">IF(T13="","",RANK(T13,$T$4:$T$52))</f>
        <v>3</v>
      </c>
      <c r="V13" s="33" t="s">
        <v>175</v>
      </c>
    </row>
    <row r="14" customFormat="false" ht="112.5" hidden="false" customHeight="true" outlineLevel="0" collapsed="false">
      <c r="A14" s="22" t="s">
        <v>229</v>
      </c>
      <c r="B14" s="23" t="s">
        <v>230</v>
      </c>
      <c r="C14" s="22"/>
      <c r="D14" s="22" t="s">
        <v>171</v>
      </c>
      <c r="E14" s="22" t="s">
        <v>172</v>
      </c>
      <c r="F14" s="22" t="s">
        <v>221</v>
      </c>
      <c r="G14" s="25" t="n">
        <v>6</v>
      </c>
      <c r="H14" s="25"/>
      <c r="I14" s="25"/>
      <c r="J14" s="25" t="n">
        <v>2</v>
      </c>
      <c r="K14" s="25"/>
      <c r="L14" s="25" t="n">
        <v>6</v>
      </c>
      <c r="M14" s="25"/>
      <c r="N14" s="25"/>
      <c r="O14" s="27" t="s">
        <v>231</v>
      </c>
      <c r="P14" s="27" t="s">
        <v>232</v>
      </c>
      <c r="Q14" s="28" t="str">
        <f aca="false">IF(V14="Defect","",IF(COUNT(G14:K14)&lt;5,"",ROUND(G14*Config!$B$4+H14*Config!$B$5+I14*Config!$B$6+J14*Config!$B$7+K14*Config!$B$8,2)))</f>
        <v/>
      </c>
      <c r="R14" s="28" t="n">
        <f aca="false">IF(L14="","",VLOOKUP(L14,Config!$A$12:$B$21,2,0))</f>
        <v>0.8</v>
      </c>
      <c r="S14" s="28" t="str">
        <f aca="false">IF(N14="","",VLOOKUP(N14,Config!$D$12:$E$21,2,0))</f>
        <v/>
      </c>
      <c r="T14" s="29" t="n">
        <f aca="false">IF(V14="Defect",IF(OR(X14="",G14="",R14=""),"",ROUND(MIN(100,VLOOKUP(X14,Config!$G$12:$H$16,2,0)*VLOOKUP(G14,Config!$I$12:$J$21,2,0)*R14),1)),IF(OR(Q14="",R14="",S14="",M14=""),"",ROUND(MIN(100,Q14*R14*S14/M14*20),1)))</f>
        <v>8</v>
      </c>
      <c r="U14" s="30" t="n">
        <f aca="false">IF(T14="","",RANK(T14,$T$4:$T$52))</f>
        <v>14</v>
      </c>
      <c r="V14" s="33" t="s">
        <v>199</v>
      </c>
      <c r="W14" s="1" t="s">
        <v>200</v>
      </c>
      <c r="X14" s="1" t="n">
        <v>1</v>
      </c>
    </row>
    <row r="15" customFormat="false" ht="14.25" hidden="false" customHeight="true" outlineLevel="0" collapsed="false">
      <c r="A15" s="22" t="s">
        <v>233</v>
      </c>
      <c r="B15" s="23" t="s">
        <v>234</v>
      </c>
      <c r="C15" s="22" t="s">
        <v>235</v>
      </c>
      <c r="D15" s="22" t="s">
        <v>171</v>
      </c>
      <c r="E15" s="22" t="s">
        <v>172</v>
      </c>
      <c r="F15" s="22" t="s">
        <v>215</v>
      </c>
      <c r="G15" s="25" t="n">
        <v>8</v>
      </c>
      <c r="H15" s="25" t="n">
        <v>6</v>
      </c>
      <c r="I15" s="25" t="n">
        <v>7</v>
      </c>
      <c r="J15" s="25" t="n">
        <v>10</v>
      </c>
      <c r="K15" s="25" t="n">
        <v>5</v>
      </c>
      <c r="L15" s="25" t="n">
        <v>6</v>
      </c>
      <c r="M15" s="25" t="n">
        <v>4</v>
      </c>
      <c r="N15" s="25" t="n">
        <v>7</v>
      </c>
      <c r="O15" s="27" t="s">
        <v>236</v>
      </c>
      <c r="P15" s="27" t="s">
        <v>237</v>
      </c>
      <c r="Q15" s="28" t="n">
        <f aca="false">IF(V15="Defect","",IF(COUNT(G15:K15)&lt;5,"",ROUND(G15*Config!$B$4+H15*Config!$B$5+I15*Config!$B$6+J15*Config!$B$7+K15*Config!$B$8,2)))</f>
        <v>7.35</v>
      </c>
      <c r="R15" s="28" t="n">
        <f aca="false">IF(L15="","",VLOOKUP(L15,Config!$A$12:$B$21,2,0))</f>
        <v>0.8</v>
      </c>
      <c r="S15" s="28" t="n">
        <f aca="false">IF(N15="","",VLOOKUP(N15,Config!$D$12:$E$21,2,0))</f>
        <v>0.75</v>
      </c>
      <c r="T15" s="29" t="n">
        <f aca="false">IF(V15="Defect",IF(OR(X15="",G15="",R15=""),"",ROUND(MIN(100,VLOOKUP(X15,Config!$G$12:$H$16,2,0)*VLOOKUP(G15,Config!$I$12:$J$21,2,0)*R15),1)),IF(OR(Q15="",R15="",S15="",M15=""),"",ROUND(MIN(100,Q15*R15*S15/M15*20),1)))</f>
        <v>22.1</v>
      </c>
      <c r="U15" s="30" t="n">
        <f aca="false">IF(T15="","",RANK(T15,$T$4:$T$52))</f>
        <v>6</v>
      </c>
      <c r="V15" s="33" t="s">
        <v>175</v>
      </c>
      <c r="W15" s="1" t="s">
        <v>200</v>
      </c>
    </row>
    <row r="16" customFormat="false" ht="14.25" hidden="false" customHeight="true" outlineLevel="0" collapsed="false">
      <c r="A16" s="22" t="s">
        <v>238</v>
      </c>
      <c r="B16" s="23" t="s">
        <v>239</v>
      </c>
      <c r="C16" s="22" t="s">
        <v>240</v>
      </c>
      <c r="D16" s="22" t="s">
        <v>171</v>
      </c>
      <c r="E16" s="22" t="s">
        <v>172</v>
      </c>
      <c r="F16" s="22" t="s">
        <v>215</v>
      </c>
      <c r="G16" s="25" t="n">
        <v>1</v>
      </c>
      <c r="H16" s="25"/>
      <c r="I16" s="25"/>
      <c r="J16" s="25" t="n">
        <v>5</v>
      </c>
      <c r="K16" s="25"/>
      <c r="L16" s="25" t="n">
        <v>10</v>
      </c>
      <c r="M16" s="25" t="n">
        <v>1</v>
      </c>
      <c r="N16" s="25" t="n">
        <v>1</v>
      </c>
      <c r="O16" s="27" t="s">
        <v>241</v>
      </c>
      <c r="P16" s="27" t="s">
        <v>242</v>
      </c>
      <c r="Q16" s="28" t="str">
        <f aca="false">IF(V16="Defect","",IF(COUNT(G16:K16)&lt;5,"",ROUND(G16*Config!$B$4+H16*Config!$B$5+I16*Config!$B$6+J16*Config!$B$7+K16*Config!$B$8,2)))</f>
        <v/>
      </c>
      <c r="R16" s="28" t="n">
        <f aca="false">IF(L16="","",VLOOKUP(L16,Config!$A$12:$B$21,2,0))</f>
        <v>1</v>
      </c>
      <c r="S16" s="28" t="n">
        <f aca="false">IF(N16="","",VLOOKUP(N16,Config!$D$12:$E$21,2,0))</f>
        <v>1</v>
      </c>
      <c r="T16" s="29" t="n">
        <f aca="false">IF(V16="Defect",IF(OR(X16="",G16="",R16=""),"",ROUND(MIN(100,VLOOKUP(X16,Config!$G$12:$H$16,2,0)*VLOOKUP(G16,Config!$I$12:$J$21,2,0)*R16),1)),IF(OR(Q16="",R16="",S16="",M16=""),"",ROUND(MIN(100,Q16*R16*S16/M16*20),1)))</f>
        <v>7.5</v>
      </c>
      <c r="U16" s="30" t="n">
        <f aca="false">IF(T16="","",RANK(T16,$T$4:$T$52))</f>
        <v>15</v>
      </c>
      <c r="V16" s="36" t="s">
        <v>199</v>
      </c>
      <c r="W16" s="1" t="s">
        <v>200</v>
      </c>
      <c r="X16" s="1" t="n">
        <v>1</v>
      </c>
    </row>
    <row r="17" customFormat="false" ht="195.75" hidden="false" customHeight="true" outlineLevel="0" collapsed="false">
      <c r="A17" s="22" t="s">
        <v>243</v>
      </c>
      <c r="B17" s="23" t="s">
        <v>244</v>
      </c>
      <c r="C17" s="22" t="s">
        <v>245</v>
      </c>
      <c r="D17" s="22" t="s">
        <v>171</v>
      </c>
      <c r="E17" s="22" t="s">
        <v>172</v>
      </c>
      <c r="F17" s="22" t="s">
        <v>215</v>
      </c>
      <c r="G17" s="25" t="n">
        <v>1</v>
      </c>
      <c r="H17" s="25"/>
      <c r="I17" s="25"/>
      <c r="J17" s="25"/>
      <c r="K17" s="25"/>
      <c r="L17" s="25" t="n">
        <v>9</v>
      </c>
      <c r="M17" s="25"/>
      <c r="N17" s="25"/>
      <c r="O17" s="27" t="s">
        <v>246</v>
      </c>
      <c r="P17" s="27" t="s">
        <v>247</v>
      </c>
      <c r="Q17" s="28" t="str">
        <f aca="false">IF(V17="Defect","",IF(COUNT(G17:K17)&lt;5,"",ROUND(G17*Config!$B$4+H17*Config!$B$5+I17*Config!$B$6+J17*Config!$B$7+K17*Config!$B$8,2)))</f>
        <v/>
      </c>
      <c r="R17" s="28" t="n">
        <f aca="false">IF(L17="","",VLOOKUP(L17,Config!$A$12:$B$21,2,0))</f>
        <v>0.95</v>
      </c>
      <c r="S17" s="28" t="str">
        <f aca="false">IF(N17="","",VLOOKUP(N17,Config!$D$12:$E$21,2,0))</f>
        <v/>
      </c>
      <c r="T17" s="29" t="n">
        <f aca="false">IF(V17="Defect",IF(OR(X17="",G17="",R17=""),"",ROUND(MIN(100,VLOOKUP(X17,Config!$G$12:$H$16,2,0)*VLOOKUP(G17,Config!$I$12:$J$21,2,0)*R17),1)),IF(OR(Q17="",R17="",S17="",M17=""),"",ROUND(MIN(100,Q17*R17*S17/M17*20),1)))</f>
        <v>21.4</v>
      </c>
      <c r="U17" s="30" t="n">
        <f aca="false">IF(T17="","",RANK(T17,$T$4:$T$52))</f>
        <v>7</v>
      </c>
      <c r="V17" s="36" t="s">
        <v>199</v>
      </c>
      <c r="W17" s="1" t="s">
        <v>200</v>
      </c>
      <c r="X17" s="1" t="n">
        <v>2</v>
      </c>
    </row>
    <row r="18" customFormat="false" ht="14.25" hidden="false" customHeight="true" outlineLevel="0" collapsed="false">
      <c r="A18" s="22" t="s">
        <v>248</v>
      </c>
      <c r="B18" s="23" t="s">
        <v>249</v>
      </c>
      <c r="C18" s="22" t="s">
        <v>250</v>
      </c>
      <c r="D18" s="22" t="s">
        <v>171</v>
      </c>
      <c r="E18" s="22" t="s">
        <v>172</v>
      </c>
      <c r="F18" s="22" t="s">
        <v>215</v>
      </c>
      <c r="G18" s="25" t="n">
        <v>4</v>
      </c>
      <c r="H18" s="25" t="n">
        <v>6</v>
      </c>
      <c r="I18" s="25" t="n">
        <v>4</v>
      </c>
      <c r="J18" s="25" t="n">
        <v>7</v>
      </c>
      <c r="K18" s="25" t="n">
        <v>9</v>
      </c>
      <c r="L18" s="25" t="n">
        <v>5</v>
      </c>
      <c r="M18" s="25" t="n">
        <v>7</v>
      </c>
      <c r="N18" s="25" t="n">
        <v>5</v>
      </c>
      <c r="O18" s="27" t="s">
        <v>251</v>
      </c>
      <c r="P18" s="27" t="s">
        <v>252</v>
      </c>
      <c r="Q18" s="28" t="n">
        <f aca="false">IF(V18="Defect","",IF(COUNT(G18:K18)&lt;5,"",ROUND(G18*Config!$B$4+H18*Config!$B$5+I18*Config!$B$6+J18*Config!$B$7+K18*Config!$B$8,2)))</f>
        <v>5.6</v>
      </c>
      <c r="R18" s="28" t="n">
        <f aca="false">IF(L18="","",VLOOKUP(L18,Config!$A$12:$B$21,2,0))</f>
        <v>0.73</v>
      </c>
      <c r="S18" s="28" t="n">
        <f aca="false">IF(N18="","",VLOOKUP(N18,Config!$D$12:$E$21,2,0))</f>
        <v>0.85</v>
      </c>
      <c r="T18" s="29" t="n">
        <f aca="false">IF(V18="Defect",IF(OR(X18="",G18="",R18=""),"",ROUND(MIN(100,VLOOKUP(X18,Config!$G$12:$H$16,2,0)*VLOOKUP(G18,Config!$I$12:$J$21,2,0)*R18),1)),IF(OR(Q18="",R18="",S18="",M18=""),"",ROUND(MIN(100,Q18*R18*S18/M18*20),1)))</f>
        <v>9.9</v>
      </c>
      <c r="U18" s="30" t="n">
        <f aca="false">IF(T18="","",RANK(T18,$T$4:$T$52))</f>
        <v>13</v>
      </c>
      <c r="V18" s="33" t="s">
        <v>175</v>
      </c>
    </row>
    <row r="19" customFormat="false" ht="14.25" hidden="false" customHeight="true" outlineLevel="0" collapsed="false">
      <c r="A19" s="22" t="s">
        <v>253</v>
      </c>
      <c r="B19" s="23" t="s">
        <v>254</v>
      </c>
      <c r="C19" s="22"/>
      <c r="D19" s="22" t="s">
        <v>255</v>
      </c>
      <c r="E19" s="22"/>
      <c r="F19" s="22"/>
      <c r="G19" s="25"/>
      <c r="H19" s="25"/>
      <c r="I19" s="25"/>
      <c r="J19" s="25"/>
      <c r="K19" s="25"/>
      <c r="L19" s="25"/>
      <c r="M19" s="25"/>
      <c r="N19" s="25"/>
      <c r="O19" s="27"/>
      <c r="P19" s="27" t="s">
        <v>256</v>
      </c>
      <c r="Q19" s="28" t="str">
        <f aca="false">IF(V19="Defect","",IF(COUNT(G19:K19)&lt;5,"",ROUND(G19*Config!$B$4+H19*Config!$B$5+I19*Config!$B$6+J19*Config!$B$7+K19*Config!$B$8,2)))</f>
        <v/>
      </c>
      <c r="R19" s="28" t="str">
        <f aca="false">IF(L19="","",VLOOKUP(L19,Config!$A$12:$B$21,2,0))</f>
        <v/>
      </c>
      <c r="S19" s="28" t="str">
        <f aca="false">IF(N19="","",VLOOKUP(N19,Config!$D$12:$E$21,2,0))</f>
        <v/>
      </c>
      <c r="T19" s="29" t="str">
        <f aca="false">IF(V19="Defect",IF(OR(X19="",G19="",R19=""),"",ROUND(MIN(100,VLOOKUP(X19,Config!$G$12:$H$16,2,0)*VLOOKUP(G19,Config!$I$12:$J$21,2,0)*R19),1)),IF(OR(Q19="",R19="",S19="",M19=""),"",ROUND(MIN(100,Q19*R19*S19/M19*20),1)))</f>
        <v/>
      </c>
      <c r="U19" s="30" t="str">
        <f aca="false">IF(T19="","",RANK(T19,$T$4:$T$52))</f>
        <v/>
      </c>
      <c r="V19" s="36" t="s">
        <v>175</v>
      </c>
    </row>
    <row r="20" customFormat="false" ht="14.25" hidden="false" customHeight="true" outlineLevel="0" collapsed="false">
      <c r="A20" s="22" t="s">
        <v>257</v>
      </c>
      <c r="B20" s="23" t="s">
        <v>258</v>
      </c>
      <c r="C20" s="22"/>
      <c r="D20" s="22" t="s">
        <v>255</v>
      </c>
      <c r="E20" s="22"/>
      <c r="F20" s="22"/>
      <c r="G20" s="25"/>
      <c r="H20" s="25"/>
      <c r="I20" s="25"/>
      <c r="J20" s="25"/>
      <c r="K20" s="25"/>
      <c r="L20" s="25"/>
      <c r="M20" s="25"/>
      <c r="N20" s="25"/>
      <c r="O20" s="27"/>
      <c r="P20" s="27" t="s">
        <v>259</v>
      </c>
      <c r="Q20" s="28" t="str">
        <f aca="false">IF(V20="Defect","",IF(COUNT(G20:K20)&lt;5,"",ROUND(G20*Config!$B$4+H20*Config!$B$5+I20*Config!$B$6+J20*Config!$B$7+K20*Config!$B$8,2)))</f>
        <v/>
      </c>
      <c r="R20" s="28" t="str">
        <f aca="false">IF(L20="","",VLOOKUP(L20,Config!$A$12:$B$21,2,0))</f>
        <v/>
      </c>
      <c r="S20" s="28" t="str">
        <f aca="false">IF(N20="","",VLOOKUP(N20,Config!$D$12:$E$21,2,0))</f>
        <v/>
      </c>
      <c r="T20" s="29" t="str">
        <f aca="false">IF(V20="Defect",IF(OR(X20="",G20="",R20=""),"",ROUND(MIN(100,VLOOKUP(X20,Config!$G$12:$H$16,2,0)*VLOOKUP(G20,Config!$I$12:$J$21,2,0)*R20),1)),IF(OR(Q20="",R20="",S20="",M20=""),"",ROUND(MIN(100,Q20*R20*S20/M20*20),1)))</f>
        <v/>
      </c>
      <c r="U20" s="30" t="str">
        <f aca="false">IF(T20="","",RANK(T20,$T$4:$T$52))</f>
        <v/>
      </c>
      <c r="V20" s="36" t="s">
        <v>175</v>
      </c>
    </row>
    <row r="21" customFormat="false" ht="14.25" hidden="false" customHeight="true" outlineLevel="0" collapsed="false">
      <c r="A21" s="22"/>
      <c r="B21" s="23"/>
      <c r="C21" s="22"/>
      <c r="D21" s="22"/>
      <c r="E21" s="22"/>
      <c r="F21" s="22"/>
      <c r="G21" s="25"/>
      <c r="H21" s="25"/>
      <c r="I21" s="25"/>
      <c r="J21" s="25"/>
      <c r="K21" s="25"/>
      <c r="L21" s="25"/>
      <c r="M21" s="25"/>
      <c r="N21" s="25"/>
      <c r="O21" s="27"/>
      <c r="P21" s="27"/>
      <c r="Q21" s="28" t="str">
        <f aca="false">IF(V21="Defect","",IF(COUNT(G21:K21)&lt;5,"",ROUND(G21*Config!$B$4+H21*Config!$B$5+I21*Config!$B$6+J21*Config!$B$7+K21*Config!$B$8,2)))</f>
        <v/>
      </c>
      <c r="R21" s="28" t="str">
        <f aca="false">IF(L21="","",VLOOKUP(L21,Config!$A$12:$B$21,2,0))</f>
        <v/>
      </c>
      <c r="S21" s="28" t="str">
        <f aca="false">IF(N21="","",VLOOKUP(N21,Config!$D$12:$E$21,2,0))</f>
        <v/>
      </c>
      <c r="T21" s="29" t="str">
        <f aca="false">IF(V21="Defect",IF(OR(X21="",G21="",R21=""),"",ROUND(MIN(100,VLOOKUP(X21,Config!$G$12:$H$16,2,0)*VLOOKUP(G21,Config!$I$12:$J$21,2,0)*R21),1)),IF(OR(Q21="",R21="",S21="",M21=""),"",ROUND(MIN(100,Q21*R21*S21/M21*20),1)))</f>
        <v/>
      </c>
      <c r="U21" s="30" t="str">
        <f aca="false">IF(T21="","",RANK(T21,$T$4:$T$52))</f>
        <v/>
      </c>
      <c r="V21" s="36"/>
    </row>
    <row r="22" customFormat="false" ht="14.25" hidden="false" customHeight="true" outlineLevel="0" collapsed="false">
      <c r="A22" s="22"/>
      <c r="B22" s="23"/>
      <c r="C22" s="22"/>
      <c r="D22" s="22"/>
      <c r="E22" s="22"/>
      <c r="F22" s="22"/>
      <c r="G22" s="25"/>
      <c r="H22" s="25"/>
      <c r="I22" s="25"/>
      <c r="J22" s="25"/>
      <c r="K22" s="25"/>
      <c r="L22" s="25"/>
      <c r="M22" s="25"/>
      <c r="N22" s="25"/>
      <c r="O22" s="27"/>
      <c r="P22" s="27"/>
      <c r="Q22" s="28" t="str">
        <f aca="false">IF(V22="Defect","",IF(COUNT(G22:K22)&lt;5,"",ROUND(G22*Config!$B$4+H22*Config!$B$5+I22*Config!$B$6+J22*Config!$B$7+K22*Config!$B$8,2)))</f>
        <v/>
      </c>
      <c r="R22" s="28" t="str">
        <f aca="false">IF(L22="","",VLOOKUP(L22,Config!$A$12:$B$21,2,0))</f>
        <v/>
      </c>
      <c r="S22" s="28" t="str">
        <f aca="false">IF(N22="","",VLOOKUP(N22,Config!$D$12:$E$21,2,0))</f>
        <v/>
      </c>
      <c r="T22" s="29" t="str">
        <f aca="false">IF(V22="Defect",IF(OR(X22="",G22="",R22=""),"",ROUND(MIN(100,VLOOKUP(X22,Config!$G$12:$H$16,2,0)*VLOOKUP(G22,Config!$I$12:$J$21,2,0)*R22),1)),IF(OR(Q22="",R22="",S22="",M22=""),"",ROUND(MIN(100,Q22*R22*S22/M22*20),1)))</f>
        <v/>
      </c>
      <c r="U22" s="30" t="str">
        <f aca="false">IF(T22="","",RANK(T22,$T$4:$T$52))</f>
        <v/>
      </c>
      <c r="V22" s="36"/>
    </row>
    <row r="23" customFormat="false" ht="14.25" hidden="false" customHeight="true" outlineLevel="0" collapsed="false">
      <c r="A23" s="22"/>
      <c r="B23" s="23"/>
      <c r="C23" s="22"/>
      <c r="D23" s="22"/>
      <c r="E23" s="22"/>
      <c r="F23" s="22"/>
      <c r="G23" s="25"/>
      <c r="H23" s="25"/>
      <c r="I23" s="25"/>
      <c r="J23" s="25"/>
      <c r="K23" s="25"/>
      <c r="L23" s="25"/>
      <c r="M23" s="25"/>
      <c r="N23" s="25"/>
      <c r="O23" s="27"/>
      <c r="P23" s="27"/>
      <c r="Q23" s="28" t="str">
        <f aca="false">IF(V23="Defect","",IF(COUNT(G23:K23)&lt;5,"",ROUND(G23*Config!$B$4+H23*Config!$B$5+I23*Config!$B$6+J23*Config!$B$7+K23*Config!$B$8,2)))</f>
        <v/>
      </c>
      <c r="R23" s="28" t="str">
        <f aca="false">IF(L23="","",VLOOKUP(L23,Config!$A$12:$B$21,2,0))</f>
        <v/>
      </c>
      <c r="S23" s="28" t="str">
        <f aca="false">IF(N23="","",VLOOKUP(N23,Config!$D$12:$E$21,2,0))</f>
        <v/>
      </c>
      <c r="T23" s="29" t="str">
        <f aca="false">IF(V23="Defect",IF(OR(X23="",G23="",R23=""),"",ROUND(MIN(100,VLOOKUP(X23,Config!$G$12:$H$16,2,0)*VLOOKUP(G23,Config!$I$12:$J$21,2,0)*R23),1)),IF(OR(Q23="",R23="",S23="",M23=""),"",ROUND(MIN(100,Q23*R23*S23/M23*20),1)))</f>
        <v/>
      </c>
      <c r="U23" s="30" t="str">
        <f aca="false">IF(T23="","",RANK(T23,$T$4:$T$52))</f>
        <v/>
      </c>
      <c r="V23" s="36"/>
    </row>
    <row r="24" customFormat="false" ht="14.25" hidden="false" customHeight="true" outlineLevel="0" collapsed="false">
      <c r="A24" s="22"/>
      <c r="B24" s="23"/>
      <c r="C24" s="22"/>
      <c r="D24" s="22"/>
      <c r="E24" s="22"/>
      <c r="F24" s="22"/>
      <c r="G24" s="25"/>
      <c r="H24" s="25"/>
      <c r="I24" s="25"/>
      <c r="J24" s="25"/>
      <c r="K24" s="25"/>
      <c r="L24" s="25"/>
      <c r="M24" s="25"/>
      <c r="N24" s="25"/>
      <c r="O24" s="27"/>
      <c r="P24" s="27"/>
      <c r="Q24" s="28" t="str">
        <f aca="false">IF(V24="Defect","",IF(COUNT(G24:K24)&lt;5,"",ROUND(G24*Config!$B$4+H24*Config!$B$5+I24*Config!$B$6+J24*Config!$B$7+K24*Config!$B$8,2)))</f>
        <v/>
      </c>
      <c r="R24" s="28" t="str">
        <f aca="false">IF(L24="","",VLOOKUP(L24,Config!$A$12:$B$21,2,0))</f>
        <v/>
      </c>
      <c r="S24" s="28" t="str">
        <f aca="false">IF(N24="","",VLOOKUP(N24,Config!$D$12:$E$21,2,0))</f>
        <v/>
      </c>
      <c r="T24" s="29" t="str">
        <f aca="false">IF(V24="Defect",IF(OR(X24="",G24="",R24=""),"",ROUND(MIN(100,VLOOKUP(X24,Config!$G$12:$H$16,2,0)*VLOOKUP(G24,Config!$I$12:$J$21,2,0)*R24),1)),IF(OR(Q24="",R24="",S24="",M24=""),"",ROUND(MIN(100,Q24*R24*S24/M24*20),1)))</f>
        <v/>
      </c>
      <c r="U24" s="30" t="str">
        <f aca="false">IF(T24="","",RANK(T24,$T$4:$T$52))</f>
        <v/>
      </c>
      <c r="V24" s="36"/>
    </row>
    <row r="25" customFormat="false" ht="14.25" hidden="false" customHeight="true" outlineLevel="0" collapsed="false">
      <c r="A25" s="22"/>
      <c r="B25" s="23"/>
      <c r="C25" s="22"/>
      <c r="D25" s="22"/>
      <c r="E25" s="22"/>
      <c r="F25" s="22"/>
      <c r="G25" s="25"/>
      <c r="H25" s="25"/>
      <c r="I25" s="25"/>
      <c r="J25" s="25"/>
      <c r="K25" s="25"/>
      <c r="L25" s="25"/>
      <c r="M25" s="25"/>
      <c r="N25" s="25"/>
      <c r="O25" s="27"/>
      <c r="P25" s="27"/>
      <c r="Q25" s="28" t="str">
        <f aca="false">IF(V25="Defect","",IF(COUNT(G25:K25)&lt;5,"",ROUND(G25*Config!$B$4+H25*Config!$B$5+I25*Config!$B$6+J25*Config!$B$7+K25*Config!$B$8,2)))</f>
        <v/>
      </c>
      <c r="R25" s="28" t="str">
        <f aca="false">IF(L25="","",VLOOKUP(L25,Config!$A$12:$B$21,2,0))</f>
        <v/>
      </c>
      <c r="S25" s="28" t="str">
        <f aca="false">IF(N25="","",VLOOKUP(N25,Config!$D$12:$E$21,2,0))</f>
        <v/>
      </c>
      <c r="T25" s="29" t="str">
        <f aca="false">IF(V25="Defect",IF(OR(X25="",G25="",R25=""),"",ROUND(MIN(100,VLOOKUP(X25,Config!$G$12:$H$16,2,0)*VLOOKUP(G25,Config!$I$12:$J$21,2,0)*R25),1)),IF(OR(Q25="",R25="",S25="",M25=""),"",ROUND(MIN(100,Q25*R25*S25/M25*20),1)))</f>
        <v/>
      </c>
      <c r="U25" s="30" t="str">
        <f aca="false">IF(T25="","",RANK(T25,$T$4:$T$52))</f>
        <v/>
      </c>
      <c r="V25" s="36"/>
    </row>
    <row r="26" customFormat="false" ht="14.25" hidden="false" customHeight="true" outlineLevel="0" collapsed="false">
      <c r="A26" s="22"/>
      <c r="B26" s="23"/>
      <c r="C26" s="22"/>
      <c r="D26" s="22"/>
      <c r="E26" s="22"/>
      <c r="F26" s="22"/>
      <c r="G26" s="25"/>
      <c r="H26" s="25"/>
      <c r="I26" s="25"/>
      <c r="J26" s="25"/>
      <c r="K26" s="25"/>
      <c r="L26" s="25"/>
      <c r="M26" s="25"/>
      <c r="N26" s="25"/>
      <c r="O26" s="27"/>
      <c r="P26" s="27"/>
      <c r="Q26" s="28" t="str">
        <f aca="false">IF(V26="Defect","",IF(COUNT(G26:K26)&lt;5,"",ROUND(G26*Config!$B$4+H26*Config!$B$5+I26*Config!$B$6+J26*Config!$B$7+K26*Config!$B$8,2)))</f>
        <v/>
      </c>
      <c r="R26" s="28" t="str">
        <f aca="false">IF(L26="","",VLOOKUP(L26,Config!$A$12:$B$21,2,0))</f>
        <v/>
      </c>
      <c r="S26" s="28" t="str">
        <f aca="false">IF(N26="","",VLOOKUP(N26,Config!$D$12:$E$21,2,0))</f>
        <v/>
      </c>
      <c r="T26" s="29" t="str">
        <f aca="false">IF(V26="Defect",IF(OR(X26="",G26="",R26=""),"",ROUND(MIN(100,VLOOKUP(X26,Config!$G$12:$H$16,2,0)*VLOOKUP(G26,Config!$I$12:$J$21,2,0)*R26),1)),IF(OR(Q26="",R26="",S26="",M26=""),"",ROUND(MIN(100,Q26*R26*S26/M26*20),1)))</f>
        <v/>
      </c>
      <c r="U26" s="30" t="str">
        <f aca="false">IF(T26="","",RANK(T26,$T$4:$T$52))</f>
        <v/>
      </c>
      <c r="V26" s="36"/>
    </row>
    <row r="27" customFormat="false" ht="14.25" hidden="false" customHeight="true" outlineLevel="0" collapsed="false">
      <c r="A27" s="22"/>
      <c r="B27" s="23"/>
      <c r="C27" s="22"/>
      <c r="D27" s="22"/>
      <c r="E27" s="22"/>
      <c r="F27" s="22"/>
      <c r="G27" s="25"/>
      <c r="H27" s="25"/>
      <c r="I27" s="25"/>
      <c r="J27" s="25"/>
      <c r="K27" s="25"/>
      <c r="L27" s="25"/>
      <c r="M27" s="25"/>
      <c r="N27" s="25"/>
      <c r="O27" s="27"/>
      <c r="P27" s="27"/>
      <c r="Q27" s="28" t="str">
        <f aca="false">IF(V27="Defect","",IF(COUNT(G27:K27)&lt;5,"",ROUND(G27*Config!$B$4+H27*Config!$B$5+I27*Config!$B$6+J27*Config!$B$7+K27*Config!$B$8,2)))</f>
        <v/>
      </c>
      <c r="R27" s="28" t="str">
        <f aca="false">IF(L27="","",VLOOKUP(L27,Config!$A$12:$B$21,2,0))</f>
        <v/>
      </c>
      <c r="S27" s="28" t="str">
        <f aca="false">IF(N27="","",VLOOKUP(N27,Config!$D$12:$E$21,2,0))</f>
        <v/>
      </c>
      <c r="T27" s="29" t="str">
        <f aca="false">IF(V27="Defect",IF(OR(X27="",G27="",R27=""),"",ROUND(MIN(100,VLOOKUP(X27,Config!$G$12:$H$16,2,0)*VLOOKUP(G27,Config!$I$12:$J$21,2,0)*R27),1)),IF(OR(Q27="",R27="",S27="",M27=""),"",ROUND(MIN(100,Q27*R27*S27/M27*20),1)))</f>
        <v/>
      </c>
      <c r="U27" s="30" t="str">
        <f aca="false">IF(T27="","",RANK(T27,$T$4:$T$52))</f>
        <v/>
      </c>
      <c r="V27" s="36"/>
    </row>
    <row r="28" customFormat="false" ht="14.25" hidden="false" customHeight="true" outlineLevel="0" collapsed="false">
      <c r="A28" s="22"/>
      <c r="B28" s="23"/>
      <c r="C28" s="22"/>
      <c r="D28" s="22"/>
      <c r="E28" s="22"/>
      <c r="F28" s="22"/>
      <c r="G28" s="25"/>
      <c r="H28" s="25"/>
      <c r="I28" s="25"/>
      <c r="J28" s="25"/>
      <c r="K28" s="25"/>
      <c r="L28" s="25"/>
      <c r="M28" s="25"/>
      <c r="N28" s="25"/>
      <c r="O28" s="27"/>
      <c r="P28" s="27"/>
      <c r="Q28" s="28" t="str">
        <f aca="false">IF(V28="Defect","",IF(COUNT(G28:K28)&lt;5,"",ROUND(G28*Config!$B$4+H28*Config!$B$5+I28*Config!$B$6+J28*Config!$B$7+K28*Config!$B$8,2)))</f>
        <v/>
      </c>
      <c r="R28" s="28" t="str">
        <f aca="false">IF(L28="","",VLOOKUP(L28,Config!$A$12:$B$21,2,0))</f>
        <v/>
      </c>
      <c r="S28" s="28" t="str">
        <f aca="false">IF(N28="","",VLOOKUP(N28,Config!$D$12:$E$21,2,0))</f>
        <v/>
      </c>
      <c r="T28" s="29" t="str">
        <f aca="false">IF(V28="Defect",IF(OR(X28="",G28="",R28=""),"",ROUND(MIN(100,VLOOKUP(X28,Config!$G$12:$H$16,2,0)*VLOOKUP(G28,Config!$I$12:$J$21,2,0)*R28),1)),IF(OR(Q28="",R28="",S28="",M28=""),"",ROUND(MIN(100,Q28*R28*S28/M28*20),1)))</f>
        <v/>
      </c>
      <c r="U28" s="30" t="str">
        <f aca="false">IF(T28="","",RANK(T28,$T$4:$T$52))</f>
        <v/>
      </c>
      <c r="V28" s="36"/>
    </row>
    <row r="29" customFormat="false" ht="14.25" hidden="false" customHeight="true" outlineLevel="0" collapsed="false">
      <c r="A29" s="22"/>
      <c r="B29" s="23"/>
      <c r="C29" s="22"/>
      <c r="D29" s="22"/>
      <c r="E29" s="22"/>
      <c r="F29" s="22"/>
      <c r="G29" s="25"/>
      <c r="H29" s="25"/>
      <c r="I29" s="25"/>
      <c r="J29" s="25"/>
      <c r="K29" s="25"/>
      <c r="L29" s="25"/>
      <c r="M29" s="25"/>
      <c r="N29" s="25"/>
      <c r="O29" s="27"/>
      <c r="P29" s="27"/>
      <c r="Q29" s="28" t="str">
        <f aca="false">IF(V29="Defect","",IF(COUNT(G29:K29)&lt;5,"",ROUND(G29*Config!$B$4+H29*Config!$B$5+I29*Config!$B$6+J29*Config!$B$7+K29*Config!$B$8,2)))</f>
        <v/>
      </c>
      <c r="R29" s="28" t="str">
        <f aca="false">IF(L29="","",VLOOKUP(L29,Config!$A$12:$B$21,2,0))</f>
        <v/>
      </c>
      <c r="S29" s="28" t="str">
        <f aca="false">IF(N29="","",VLOOKUP(N29,Config!$D$12:$E$21,2,0))</f>
        <v/>
      </c>
      <c r="T29" s="29" t="str">
        <f aca="false">IF(V29="Defect",IF(OR(X29="",G29="",R29=""),"",ROUND(MIN(100,VLOOKUP(X29,Config!$G$12:$H$16,2,0)*VLOOKUP(G29,Config!$I$12:$J$21,2,0)*R29),1)),IF(OR(Q29="",R29="",S29="",M29=""),"",ROUND(MIN(100,Q29*R29*S29/M29*20),1)))</f>
        <v/>
      </c>
      <c r="U29" s="30" t="str">
        <f aca="false">IF(T29="","",RANK(T29,$T$4:$T$52))</f>
        <v/>
      </c>
      <c r="V29" s="36"/>
    </row>
    <row r="30" customFormat="false" ht="14.25" hidden="false" customHeight="true" outlineLevel="0" collapsed="false">
      <c r="A30" s="22"/>
      <c r="B30" s="23"/>
      <c r="C30" s="22"/>
      <c r="D30" s="22"/>
      <c r="E30" s="22"/>
      <c r="F30" s="22"/>
      <c r="G30" s="25"/>
      <c r="H30" s="25"/>
      <c r="I30" s="25"/>
      <c r="J30" s="25"/>
      <c r="K30" s="25"/>
      <c r="L30" s="25"/>
      <c r="M30" s="25"/>
      <c r="N30" s="25"/>
      <c r="O30" s="27"/>
      <c r="P30" s="27"/>
      <c r="Q30" s="28" t="str">
        <f aca="false">IF(V30="Defect","",IF(COUNT(G30:K30)&lt;5,"",ROUND(G30*Config!$B$4+H30*Config!$B$5+I30*Config!$B$6+J30*Config!$B$7+K30*Config!$B$8,2)))</f>
        <v/>
      </c>
      <c r="R30" s="28" t="str">
        <f aca="false">IF(L30="","",VLOOKUP(L30,Config!$A$12:$B$21,2,0))</f>
        <v/>
      </c>
      <c r="S30" s="28" t="str">
        <f aca="false">IF(N30="","",VLOOKUP(N30,Config!$D$12:$E$21,2,0))</f>
        <v/>
      </c>
      <c r="T30" s="29" t="str">
        <f aca="false">IF(V30="Defect",IF(OR(X30="",G30="",R30=""),"",ROUND(MIN(100,VLOOKUP(X30,Config!$G$12:$H$16,2,0)*VLOOKUP(G30,Config!$I$12:$J$21,2,0)*R30),1)),IF(OR(Q30="",R30="",S30="",M30=""),"",ROUND(MIN(100,Q30*R30*S30/M30*20),1)))</f>
        <v/>
      </c>
      <c r="U30" s="30" t="str">
        <f aca="false">IF(T30="","",RANK(T30,$T$4:$T$52))</f>
        <v/>
      </c>
      <c r="V30" s="36"/>
    </row>
    <row r="31" customFormat="false" ht="14.25" hidden="false" customHeight="true" outlineLevel="0" collapsed="false">
      <c r="A31" s="22"/>
      <c r="B31" s="23"/>
      <c r="C31" s="22"/>
      <c r="D31" s="22"/>
      <c r="E31" s="22"/>
      <c r="F31" s="22"/>
      <c r="G31" s="25"/>
      <c r="H31" s="25"/>
      <c r="I31" s="25"/>
      <c r="J31" s="25"/>
      <c r="K31" s="25"/>
      <c r="L31" s="25"/>
      <c r="M31" s="25"/>
      <c r="N31" s="25"/>
      <c r="O31" s="27"/>
      <c r="P31" s="27"/>
      <c r="Q31" s="28" t="str">
        <f aca="false">IF(V31="Defect","",IF(COUNT(G31:K31)&lt;5,"",ROUND(G31*Config!$B$4+H31*Config!$B$5+I31*Config!$B$6+J31*Config!$B$7+K31*Config!$B$8,2)))</f>
        <v/>
      </c>
      <c r="R31" s="28" t="str">
        <f aca="false">IF(L31="","",VLOOKUP(L31,Config!$A$12:$B$21,2,0))</f>
        <v/>
      </c>
      <c r="S31" s="28" t="str">
        <f aca="false">IF(N31="","",VLOOKUP(N31,Config!$D$12:$E$21,2,0))</f>
        <v/>
      </c>
      <c r="T31" s="29" t="str">
        <f aca="false">IF(V31="Defect",IF(OR(X31="",G31="",R31=""),"",ROUND(MIN(100,VLOOKUP(X31,Config!$G$12:$H$16,2,0)*VLOOKUP(G31,Config!$I$12:$J$21,2,0)*R31),1)),IF(OR(Q31="",R31="",S31="",M31=""),"",ROUND(MIN(100,Q31*R31*S31/M31*20),1)))</f>
        <v/>
      </c>
      <c r="U31" s="30" t="str">
        <f aca="false">IF(T31="","",RANK(T31,$T$4:$T$52))</f>
        <v/>
      </c>
      <c r="V31" s="36"/>
    </row>
    <row r="32" customFormat="false" ht="14.25" hidden="false" customHeight="true" outlineLevel="0" collapsed="false">
      <c r="A32" s="22"/>
      <c r="B32" s="23"/>
      <c r="C32" s="22"/>
      <c r="D32" s="22"/>
      <c r="E32" s="22"/>
      <c r="F32" s="22"/>
      <c r="G32" s="25"/>
      <c r="H32" s="25"/>
      <c r="I32" s="25"/>
      <c r="J32" s="25"/>
      <c r="K32" s="25"/>
      <c r="L32" s="25"/>
      <c r="M32" s="25"/>
      <c r="N32" s="25"/>
      <c r="O32" s="27"/>
      <c r="P32" s="27"/>
      <c r="Q32" s="28" t="str">
        <f aca="false">IF(V32="Defect","",IF(COUNT(G32:K32)&lt;5,"",ROUND(G32*Config!$B$4+H32*Config!$B$5+I32*Config!$B$6+J32*Config!$B$7+K32*Config!$B$8,2)))</f>
        <v/>
      </c>
      <c r="R32" s="28" t="str">
        <f aca="false">IF(L32="","",VLOOKUP(L32,Config!$A$12:$B$21,2,0))</f>
        <v/>
      </c>
      <c r="S32" s="28" t="str">
        <f aca="false">IF(N32="","",VLOOKUP(N32,Config!$D$12:$E$21,2,0))</f>
        <v/>
      </c>
      <c r="T32" s="29" t="str">
        <f aca="false">IF(V32="Defect",IF(OR(X32="",G32="",R32=""),"",ROUND(MIN(100,VLOOKUP(X32,Config!$G$12:$H$16,2,0)*VLOOKUP(G32,Config!$I$12:$J$21,2,0)*R32),1)),IF(OR(Q32="",R32="",S32="",M32=""),"",ROUND(MIN(100,Q32*R32*S32/M32*20),1)))</f>
        <v/>
      </c>
      <c r="U32" s="30" t="str">
        <f aca="false">IF(T32="","",RANK(T32,$T$4:$T$52))</f>
        <v/>
      </c>
      <c r="V32" s="36"/>
    </row>
    <row r="33" customFormat="false" ht="14.25" hidden="false" customHeight="true" outlineLevel="0" collapsed="false">
      <c r="A33" s="22"/>
      <c r="B33" s="23"/>
      <c r="C33" s="22"/>
      <c r="D33" s="22"/>
      <c r="E33" s="22"/>
      <c r="F33" s="22"/>
      <c r="G33" s="25"/>
      <c r="H33" s="25"/>
      <c r="I33" s="25"/>
      <c r="J33" s="25"/>
      <c r="K33" s="25"/>
      <c r="L33" s="25"/>
      <c r="M33" s="25"/>
      <c r="N33" s="25"/>
      <c r="O33" s="27"/>
      <c r="P33" s="27"/>
      <c r="Q33" s="28" t="str">
        <f aca="false">IF(V33="Defect","",IF(COUNT(G33:K33)&lt;5,"",ROUND(G33*Config!$B$4+H33*Config!$B$5+I33*Config!$B$6+J33*Config!$B$7+K33*Config!$B$8,2)))</f>
        <v/>
      </c>
      <c r="R33" s="28" t="str">
        <f aca="false">IF(L33="","",VLOOKUP(L33,Config!$A$12:$B$21,2,0))</f>
        <v/>
      </c>
      <c r="S33" s="28" t="str">
        <f aca="false">IF(N33="","",VLOOKUP(N33,Config!$D$12:$E$21,2,0))</f>
        <v/>
      </c>
      <c r="T33" s="29" t="str">
        <f aca="false">IF(V33="Defect",IF(OR(X33="",G33="",R33=""),"",ROUND(MIN(100,VLOOKUP(X33,Config!$G$12:$H$16,2,0)*VLOOKUP(G33,Config!$I$12:$J$21,2,0)*R33),1)),IF(OR(Q33="",R33="",S33="",M33=""),"",ROUND(MIN(100,Q33*R33*S33/M33*20),1)))</f>
        <v/>
      </c>
      <c r="U33" s="30" t="str">
        <f aca="false">IF(T33="","",RANK(T33,$T$4:$T$52))</f>
        <v/>
      </c>
      <c r="V33" s="36"/>
    </row>
    <row r="34" customFormat="false" ht="14.25" hidden="false" customHeight="true" outlineLevel="0" collapsed="false">
      <c r="A34" s="22"/>
      <c r="B34" s="23"/>
      <c r="C34" s="22"/>
      <c r="D34" s="22"/>
      <c r="E34" s="22"/>
      <c r="F34" s="22"/>
      <c r="G34" s="25"/>
      <c r="H34" s="25"/>
      <c r="I34" s="25"/>
      <c r="J34" s="25"/>
      <c r="K34" s="25"/>
      <c r="L34" s="25"/>
      <c r="M34" s="25"/>
      <c r="N34" s="25"/>
      <c r="O34" s="27"/>
      <c r="P34" s="27"/>
      <c r="Q34" s="28" t="str">
        <f aca="false">IF(V34="Defect","",IF(COUNT(G34:K34)&lt;5,"",ROUND(G34*Config!$B$4+H34*Config!$B$5+I34*Config!$B$6+J34*Config!$B$7+K34*Config!$B$8,2)))</f>
        <v/>
      </c>
      <c r="R34" s="28" t="str">
        <f aca="false">IF(L34="","",VLOOKUP(L34,Config!$A$12:$B$21,2,0))</f>
        <v/>
      </c>
      <c r="S34" s="28" t="str">
        <f aca="false">IF(N34="","",VLOOKUP(N34,Config!$D$12:$E$21,2,0))</f>
        <v/>
      </c>
      <c r="T34" s="29" t="str">
        <f aca="false">IF(V34="Defect",IF(OR(X34="",G34="",R34=""),"",ROUND(MIN(100,VLOOKUP(X34,Config!$G$12:$H$16,2,0)*VLOOKUP(G34,Config!$I$12:$J$21,2,0)*R34),1)),IF(OR(Q34="",R34="",S34="",M34=""),"",ROUND(MIN(100,Q34*R34*S34/M34*20),1)))</f>
        <v/>
      </c>
      <c r="U34" s="30" t="str">
        <f aca="false">IF(T34="","",RANK(T34,$T$4:$T$52))</f>
        <v/>
      </c>
      <c r="V34" s="36"/>
    </row>
    <row r="35" customFormat="false" ht="14.25" hidden="false" customHeight="true" outlineLevel="0" collapsed="false">
      <c r="A35" s="22"/>
      <c r="B35" s="23"/>
      <c r="C35" s="22"/>
      <c r="D35" s="22"/>
      <c r="E35" s="22"/>
      <c r="F35" s="22"/>
      <c r="G35" s="25"/>
      <c r="H35" s="25"/>
      <c r="I35" s="25"/>
      <c r="J35" s="25"/>
      <c r="K35" s="25"/>
      <c r="L35" s="25"/>
      <c r="M35" s="25"/>
      <c r="N35" s="25"/>
      <c r="O35" s="27"/>
      <c r="P35" s="27"/>
      <c r="Q35" s="28" t="str">
        <f aca="false">IF(V35="Defect","",IF(COUNT(G35:K35)&lt;5,"",ROUND(G35*Config!$B$4+H35*Config!$B$5+I35*Config!$B$6+J35*Config!$B$7+K35*Config!$B$8,2)))</f>
        <v/>
      </c>
      <c r="R35" s="28" t="str">
        <f aca="false">IF(L35="","",VLOOKUP(L35,Config!$A$12:$B$21,2,0))</f>
        <v/>
      </c>
      <c r="S35" s="28" t="str">
        <f aca="false">IF(N35="","",VLOOKUP(N35,Config!$D$12:$E$21,2,0))</f>
        <v/>
      </c>
      <c r="T35" s="29" t="str">
        <f aca="false">IF(V35="Defect",IF(OR(X35="",G35="",R35=""),"",ROUND(MIN(100,VLOOKUP(X35,Config!$G$12:$H$16,2,0)*VLOOKUP(G35,Config!$I$12:$J$21,2,0)*R35),1)),IF(OR(Q35="",R35="",S35="",M35=""),"",ROUND(MIN(100,Q35*R35*S35/M35*20),1)))</f>
        <v/>
      </c>
      <c r="U35" s="30" t="str">
        <f aca="false">IF(T35="","",RANK(T35,$T$4:$T$52))</f>
        <v/>
      </c>
      <c r="V35" s="36"/>
    </row>
    <row r="36" customFormat="false" ht="14.25" hidden="false" customHeight="true" outlineLevel="0" collapsed="false">
      <c r="A36" s="22"/>
      <c r="B36" s="23"/>
      <c r="C36" s="22"/>
      <c r="D36" s="22"/>
      <c r="E36" s="22"/>
      <c r="F36" s="22"/>
      <c r="G36" s="25"/>
      <c r="H36" s="25"/>
      <c r="I36" s="25"/>
      <c r="J36" s="25"/>
      <c r="K36" s="25"/>
      <c r="L36" s="25"/>
      <c r="M36" s="25"/>
      <c r="N36" s="25"/>
      <c r="O36" s="27"/>
      <c r="P36" s="27"/>
      <c r="Q36" s="28" t="str">
        <f aca="false">IF(V36="Defect","",IF(COUNT(G36:K36)&lt;5,"",ROUND(G36*Config!$B$4+H36*Config!$B$5+I36*Config!$B$6+J36*Config!$B$7+K36*Config!$B$8,2)))</f>
        <v/>
      </c>
      <c r="R36" s="28" t="str">
        <f aca="false">IF(L36="","",VLOOKUP(L36,Config!$A$12:$B$21,2,0))</f>
        <v/>
      </c>
      <c r="S36" s="28" t="str">
        <f aca="false">IF(N36="","",VLOOKUP(N36,Config!$D$12:$E$21,2,0))</f>
        <v/>
      </c>
      <c r="T36" s="29" t="str">
        <f aca="false">IF(V36="Defect",IF(OR(X36="",G36="",R36=""),"",ROUND(MIN(100,VLOOKUP(X36,Config!$G$12:$H$16,2,0)*VLOOKUP(G36,Config!$I$12:$J$21,2,0)*R36),1)),IF(OR(Q36="",R36="",S36="",M36=""),"",ROUND(MIN(100,Q36*R36*S36/M36*20),1)))</f>
        <v/>
      </c>
      <c r="U36" s="30" t="str">
        <f aca="false">IF(T36="","",RANK(T36,$T$4:$T$52))</f>
        <v/>
      </c>
      <c r="V36" s="36"/>
    </row>
    <row r="37" customFormat="false" ht="14.25" hidden="false" customHeight="true" outlineLevel="0" collapsed="false">
      <c r="A37" s="22"/>
      <c r="B37" s="23"/>
      <c r="C37" s="22"/>
      <c r="D37" s="22"/>
      <c r="E37" s="22"/>
      <c r="F37" s="22"/>
      <c r="G37" s="25"/>
      <c r="H37" s="25"/>
      <c r="I37" s="25"/>
      <c r="J37" s="25"/>
      <c r="K37" s="25"/>
      <c r="L37" s="25"/>
      <c r="M37" s="25"/>
      <c r="N37" s="25"/>
      <c r="O37" s="27"/>
      <c r="P37" s="27"/>
      <c r="Q37" s="28" t="str">
        <f aca="false">IF(V37="Defect","",IF(COUNT(G37:K37)&lt;5,"",ROUND(G37*Config!$B$4+H37*Config!$B$5+I37*Config!$B$6+J37*Config!$B$7+K37*Config!$B$8,2)))</f>
        <v/>
      </c>
      <c r="R37" s="28" t="str">
        <f aca="false">IF(L37="","",VLOOKUP(L37,Config!$A$12:$B$21,2,0))</f>
        <v/>
      </c>
      <c r="S37" s="28" t="str">
        <f aca="false">IF(N37="","",VLOOKUP(N37,Config!$D$12:$E$21,2,0))</f>
        <v/>
      </c>
      <c r="T37" s="29" t="str">
        <f aca="false">IF(V37="Defect",IF(OR(X37="",G37="",R37=""),"",ROUND(MIN(100,VLOOKUP(X37,Config!$G$12:$H$16,2,0)*VLOOKUP(G37,Config!$I$12:$J$21,2,0)*R37),1)),IF(OR(Q37="",R37="",S37="",M37=""),"",ROUND(MIN(100,Q37*R37*S37/M37*20),1)))</f>
        <v/>
      </c>
      <c r="U37" s="30" t="str">
        <f aca="false">IF(T37="","",RANK(T37,$T$4:$T$52))</f>
        <v/>
      </c>
      <c r="V37" s="36"/>
    </row>
    <row r="38" customFormat="false" ht="14.25" hidden="false" customHeight="true" outlineLevel="0" collapsed="false">
      <c r="A38" s="22"/>
      <c r="B38" s="23"/>
      <c r="C38" s="22"/>
      <c r="D38" s="22"/>
      <c r="E38" s="22"/>
      <c r="F38" s="22"/>
      <c r="G38" s="25"/>
      <c r="H38" s="25"/>
      <c r="I38" s="25"/>
      <c r="J38" s="25"/>
      <c r="K38" s="25"/>
      <c r="L38" s="25"/>
      <c r="M38" s="25"/>
      <c r="N38" s="25"/>
      <c r="O38" s="27"/>
      <c r="P38" s="27"/>
      <c r="Q38" s="28" t="str">
        <f aca="false">IF(V38="Defect","",IF(COUNT(G38:K38)&lt;5,"",ROUND(G38*Config!$B$4+H38*Config!$B$5+I38*Config!$B$6+J38*Config!$B$7+K38*Config!$B$8,2)))</f>
        <v/>
      </c>
      <c r="R38" s="28" t="str">
        <f aca="false">IF(L38="","",VLOOKUP(L38,Config!$A$12:$B$21,2,0))</f>
        <v/>
      </c>
      <c r="S38" s="28" t="str">
        <f aca="false">IF(N38="","",VLOOKUP(N38,Config!$D$12:$E$21,2,0))</f>
        <v/>
      </c>
      <c r="T38" s="29" t="str">
        <f aca="false">IF(V38="Defect",IF(OR(X38="",G38="",R38=""),"",ROUND(MIN(100,VLOOKUP(X38,Config!$G$12:$H$16,2,0)*VLOOKUP(G38,Config!$I$12:$J$21,2,0)*R38),1)),IF(OR(Q38="",R38="",S38="",M38=""),"",ROUND(MIN(100,Q38*R38*S38/M38*20),1)))</f>
        <v/>
      </c>
      <c r="U38" s="30" t="str">
        <f aca="false">IF(T38="","",RANK(T38,$T$4:$T$52))</f>
        <v/>
      </c>
      <c r="V38" s="36"/>
    </row>
    <row r="39" customFormat="false" ht="14.25" hidden="false" customHeight="true" outlineLevel="0" collapsed="false">
      <c r="A39" s="22"/>
      <c r="B39" s="23"/>
      <c r="C39" s="22"/>
      <c r="D39" s="22"/>
      <c r="E39" s="22"/>
      <c r="F39" s="22"/>
      <c r="G39" s="25"/>
      <c r="H39" s="25"/>
      <c r="I39" s="25"/>
      <c r="J39" s="25"/>
      <c r="K39" s="25"/>
      <c r="L39" s="25"/>
      <c r="M39" s="25"/>
      <c r="N39" s="25"/>
      <c r="O39" s="27"/>
      <c r="P39" s="27"/>
      <c r="Q39" s="28" t="str">
        <f aca="false">IF(V39="Defect","",IF(COUNT(G39:K39)&lt;5,"",ROUND(G39*Config!$B$4+H39*Config!$B$5+I39*Config!$B$6+J39*Config!$B$7+K39*Config!$B$8,2)))</f>
        <v/>
      </c>
      <c r="R39" s="28" t="str">
        <f aca="false">IF(L39="","",VLOOKUP(L39,Config!$A$12:$B$21,2,0))</f>
        <v/>
      </c>
      <c r="S39" s="28" t="str">
        <f aca="false">IF(N39="","",VLOOKUP(N39,Config!$D$12:$E$21,2,0))</f>
        <v/>
      </c>
      <c r="T39" s="29" t="str">
        <f aca="false">IF(V39="Defect",IF(OR(X39="",G39="",R39=""),"",ROUND(MIN(100,VLOOKUP(X39,Config!$G$12:$H$16,2,0)*VLOOKUP(G39,Config!$I$12:$J$21,2,0)*R39),1)),IF(OR(Q39="",R39="",S39="",M39=""),"",ROUND(MIN(100,Q39*R39*S39/M39*20),1)))</f>
        <v/>
      </c>
      <c r="U39" s="30" t="str">
        <f aca="false">IF(T39="","",RANK(T39,$T$4:$T$52))</f>
        <v/>
      </c>
      <c r="V39" s="36"/>
    </row>
    <row r="40" customFormat="false" ht="14.25" hidden="false" customHeight="true" outlineLevel="0" collapsed="false">
      <c r="A40" s="22"/>
      <c r="B40" s="23"/>
      <c r="C40" s="22"/>
      <c r="D40" s="22"/>
      <c r="E40" s="22"/>
      <c r="F40" s="22"/>
      <c r="G40" s="25"/>
      <c r="H40" s="25"/>
      <c r="I40" s="25"/>
      <c r="J40" s="25"/>
      <c r="K40" s="25"/>
      <c r="L40" s="25"/>
      <c r="M40" s="25"/>
      <c r="N40" s="25"/>
      <c r="O40" s="27"/>
      <c r="P40" s="27"/>
      <c r="Q40" s="28" t="str">
        <f aca="false">IF(V40="Defect","",IF(COUNT(G40:K40)&lt;5,"",ROUND(G40*Config!$B$4+H40*Config!$B$5+I40*Config!$B$6+J40*Config!$B$7+K40*Config!$B$8,2)))</f>
        <v/>
      </c>
      <c r="R40" s="28" t="str">
        <f aca="false">IF(L40="","",VLOOKUP(L40,Config!$A$12:$B$21,2,0))</f>
        <v/>
      </c>
      <c r="S40" s="28" t="str">
        <f aca="false">IF(N40="","",VLOOKUP(N40,Config!$D$12:$E$21,2,0))</f>
        <v/>
      </c>
      <c r="T40" s="29" t="str">
        <f aca="false">IF(V40="Defect",IF(OR(X40="",G40="",R40=""),"",ROUND(MIN(100,VLOOKUP(X40,Config!$G$12:$H$16,2,0)*VLOOKUP(G40,Config!$I$12:$J$21,2,0)*R40),1)),IF(OR(Q40="",R40="",S40="",M40=""),"",ROUND(MIN(100,Q40*R40*S40/M40*20),1)))</f>
        <v/>
      </c>
      <c r="U40" s="30" t="str">
        <f aca="false">IF(T40="","",RANK(T40,$T$4:$T$52))</f>
        <v/>
      </c>
      <c r="V40" s="36"/>
    </row>
    <row r="41" customFormat="false" ht="14.25" hidden="false" customHeight="true" outlineLevel="0" collapsed="false">
      <c r="A41" s="22"/>
      <c r="B41" s="23"/>
      <c r="C41" s="22"/>
      <c r="D41" s="22"/>
      <c r="E41" s="22"/>
      <c r="F41" s="22"/>
      <c r="G41" s="25"/>
      <c r="H41" s="25"/>
      <c r="I41" s="25"/>
      <c r="J41" s="25"/>
      <c r="K41" s="25"/>
      <c r="L41" s="25"/>
      <c r="M41" s="25"/>
      <c r="N41" s="25"/>
      <c r="O41" s="27"/>
      <c r="P41" s="27"/>
      <c r="Q41" s="28" t="str">
        <f aca="false">IF(V41="Defect","",IF(COUNT(G41:K41)&lt;5,"",ROUND(G41*Config!$B$4+H41*Config!$B$5+I41*Config!$B$6+J41*Config!$B$7+K41*Config!$B$8,2)))</f>
        <v/>
      </c>
      <c r="R41" s="28" t="str">
        <f aca="false">IF(L41="","",VLOOKUP(L41,Config!$A$12:$B$21,2,0))</f>
        <v/>
      </c>
      <c r="S41" s="28" t="str">
        <f aca="false">IF(N41="","",VLOOKUP(N41,Config!$D$12:$E$21,2,0))</f>
        <v/>
      </c>
      <c r="T41" s="29" t="str">
        <f aca="false">IF(V41="Defect",IF(OR(X41="",G41="",R41=""),"",ROUND(MIN(100,VLOOKUP(X41,Config!$G$12:$H$16,2,0)*VLOOKUP(G41,Config!$I$12:$J$21,2,0)*R41),1)),IF(OR(Q41="",R41="",S41="",M41=""),"",ROUND(MIN(100,Q41*R41*S41/M41*20),1)))</f>
        <v/>
      </c>
      <c r="U41" s="30" t="str">
        <f aca="false">IF(T41="","",RANK(T41,$T$4:$T$52))</f>
        <v/>
      </c>
      <c r="V41" s="36"/>
    </row>
    <row r="42" customFormat="false" ht="14.25" hidden="false" customHeight="true" outlineLevel="0" collapsed="false">
      <c r="A42" s="22"/>
      <c r="B42" s="23"/>
      <c r="C42" s="22"/>
      <c r="D42" s="22"/>
      <c r="E42" s="22"/>
      <c r="F42" s="22"/>
      <c r="G42" s="25"/>
      <c r="H42" s="25"/>
      <c r="I42" s="25"/>
      <c r="J42" s="25"/>
      <c r="K42" s="25"/>
      <c r="L42" s="25"/>
      <c r="M42" s="25"/>
      <c r="N42" s="25"/>
      <c r="O42" s="27"/>
      <c r="P42" s="27"/>
      <c r="Q42" s="28" t="str">
        <f aca="false">IF(V42="Defect","",IF(COUNT(G42:K42)&lt;5,"",ROUND(G42*Config!$B$4+H42*Config!$B$5+I42*Config!$B$6+J42*Config!$B$7+K42*Config!$B$8,2)))</f>
        <v/>
      </c>
      <c r="R42" s="28" t="str">
        <f aca="false">IF(L42="","",VLOOKUP(L42,Config!$A$12:$B$21,2,0))</f>
        <v/>
      </c>
      <c r="S42" s="28" t="str">
        <f aca="false">IF(N42="","",VLOOKUP(N42,Config!$D$12:$E$21,2,0))</f>
        <v/>
      </c>
      <c r="T42" s="29" t="str">
        <f aca="false">IF(V42="Defect",IF(OR(X42="",G42="",R42=""),"",ROUND(MIN(100,VLOOKUP(X42,Config!$G$12:$H$16,2,0)*VLOOKUP(G42,Config!$I$12:$J$21,2,0)*R42),1)),IF(OR(Q42="",R42="",S42="",M42=""),"",ROUND(MIN(100,Q42*R42*S42/M42*20),1)))</f>
        <v/>
      </c>
      <c r="U42" s="30" t="str">
        <f aca="false">IF(T42="","",RANK(T42,$T$4:$T$52))</f>
        <v/>
      </c>
      <c r="V42" s="36"/>
    </row>
    <row r="43" customFormat="false" ht="14.25" hidden="false" customHeight="true" outlineLevel="0" collapsed="false">
      <c r="A43" s="22"/>
      <c r="B43" s="23"/>
      <c r="C43" s="22"/>
      <c r="D43" s="22"/>
      <c r="E43" s="22"/>
      <c r="F43" s="22"/>
      <c r="G43" s="25"/>
      <c r="H43" s="25"/>
      <c r="I43" s="25"/>
      <c r="J43" s="25"/>
      <c r="K43" s="25"/>
      <c r="L43" s="25"/>
      <c r="M43" s="25"/>
      <c r="N43" s="25"/>
      <c r="O43" s="27"/>
      <c r="P43" s="27"/>
      <c r="Q43" s="28" t="str">
        <f aca="false">IF(V43="Defect","",IF(COUNT(G43:K43)&lt;5,"",ROUND(G43*Config!$B$4+H43*Config!$B$5+I43*Config!$B$6+J43*Config!$B$7+K43*Config!$B$8,2)))</f>
        <v/>
      </c>
      <c r="R43" s="28" t="str">
        <f aca="false">IF(L43="","",VLOOKUP(L43,Config!$A$12:$B$21,2,0))</f>
        <v/>
      </c>
      <c r="S43" s="28" t="str">
        <f aca="false">IF(N43="","",VLOOKUP(N43,Config!$D$12:$E$21,2,0))</f>
        <v/>
      </c>
      <c r="T43" s="29" t="str">
        <f aca="false">IF(V43="Defect",IF(OR(X43="",G43="",R43=""),"",ROUND(MIN(100,VLOOKUP(X43,Config!$G$12:$H$16,2,0)*VLOOKUP(G43,Config!$I$12:$J$21,2,0)*R43),1)),IF(OR(Q43="",R43="",S43="",M43=""),"",ROUND(MIN(100,Q43*R43*S43/M43*20),1)))</f>
        <v/>
      </c>
      <c r="U43" s="30" t="str">
        <f aca="false">IF(T43="","",RANK(T43,$T$4:$T$52))</f>
        <v/>
      </c>
      <c r="V43" s="36"/>
    </row>
    <row r="44" customFormat="false" ht="14.25" hidden="false" customHeight="true" outlineLevel="0" collapsed="false">
      <c r="A44" s="22"/>
      <c r="B44" s="23"/>
      <c r="C44" s="22"/>
      <c r="D44" s="22"/>
      <c r="E44" s="22"/>
      <c r="F44" s="22"/>
      <c r="G44" s="25"/>
      <c r="H44" s="25"/>
      <c r="I44" s="25"/>
      <c r="J44" s="25"/>
      <c r="K44" s="25"/>
      <c r="L44" s="25"/>
      <c r="M44" s="25"/>
      <c r="N44" s="25"/>
      <c r="O44" s="27"/>
      <c r="P44" s="27"/>
      <c r="Q44" s="28" t="str">
        <f aca="false">IF(V44="Defect","",IF(COUNT(G44:K44)&lt;5,"",ROUND(G44*Config!$B$4+H44*Config!$B$5+I44*Config!$B$6+J44*Config!$B$7+K44*Config!$B$8,2)))</f>
        <v/>
      </c>
      <c r="R44" s="28" t="str">
        <f aca="false">IF(L44="","",VLOOKUP(L44,Config!$A$12:$B$21,2,0))</f>
        <v/>
      </c>
      <c r="S44" s="28" t="str">
        <f aca="false">IF(N44="","",VLOOKUP(N44,Config!$D$12:$E$21,2,0))</f>
        <v/>
      </c>
      <c r="T44" s="29" t="str">
        <f aca="false">IF(V44="Defect",IF(OR(X44="",G44="",R44=""),"",ROUND(MIN(100,VLOOKUP(X44,Config!$G$12:$H$16,2,0)*VLOOKUP(G44,Config!$I$12:$J$21,2,0)*R44),1)),IF(OR(Q44="",R44="",S44="",M44=""),"",ROUND(MIN(100,Q44*R44*S44/M44*20),1)))</f>
        <v/>
      </c>
      <c r="U44" s="30" t="str">
        <f aca="false">IF(T44="","",RANK(T44,$T$4:$T$52))</f>
        <v/>
      </c>
      <c r="V44" s="36"/>
    </row>
    <row r="45" customFormat="false" ht="14.25" hidden="false" customHeight="true" outlineLevel="0" collapsed="false">
      <c r="A45" s="22"/>
      <c r="B45" s="23"/>
      <c r="C45" s="22"/>
      <c r="D45" s="22"/>
      <c r="E45" s="22"/>
      <c r="F45" s="22"/>
      <c r="G45" s="25"/>
      <c r="H45" s="25"/>
      <c r="I45" s="25"/>
      <c r="J45" s="25"/>
      <c r="K45" s="25"/>
      <c r="L45" s="25"/>
      <c r="M45" s="25"/>
      <c r="N45" s="25"/>
      <c r="O45" s="27"/>
      <c r="P45" s="27"/>
      <c r="Q45" s="28" t="str">
        <f aca="false">IF(V45="Defect","",IF(COUNT(G45:K45)&lt;5,"",ROUND(G45*Config!$B$4+H45*Config!$B$5+I45*Config!$B$6+J45*Config!$B$7+K45*Config!$B$8,2)))</f>
        <v/>
      </c>
      <c r="R45" s="28" t="str">
        <f aca="false">IF(L45="","",VLOOKUP(L45,Config!$A$12:$B$21,2,0))</f>
        <v/>
      </c>
      <c r="S45" s="28" t="str">
        <f aca="false">IF(N45="","",VLOOKUP(N45,Config!$D$12:$E$21,2,0))</f>
        <v/>
      </c>
      <c r="T45" s="29" t="str">
        <f aca="false">IF(V45="Defect",IF(OR(X45="",G45="",R45=""),"",ROUND(MIN(100,VLOOKUP(X45,Config!$G$12:$H$16,2,0)*VLOOKUP(G45,Config!$I$12:$J$21,2,0)*R45),1)),IF(OR(Q45="",R45="",S45="",M45=""),"",ROUND(MIN(100,Q45*R45*S45/M45*20),1)))</f>
        <v/>
      </c>
      <c r="U45" s="30" t="str">
        <f aca="false">IF(T45="","",RANK(T45,$T$4:$T$52))</f>
        <v/>
      </c>
      <c r="V45" s="36"/>
    </row>
    <row r="46" customFormat="false" ht="14.25" hidden="false" customHeight="true" outlineLevel="0" collapsed="false">
      <c r="A46" s="22"/>
      <c r="B46" s="23"/>
      <c r="C46" s="22"/>
      <c r="D46" s="22"/>
      <c r="E46" s="22"/>
      <c r="F46" s="22"/>
      <c r="G46" s="25"/>
      <c r="H46" s="25"/>
      <c r="I46" s="25"/>
      <c r="J46" s="25"/>
      <c r="K46" s="25"/>
      <c r="L46" s="25"/>
      <c r="M46" s="25"/>
      <c r="N46" s="25"/>
      <c r="O46" s="27"/>
      <c r="P46" s="27"/>
      <c r="Q46" s="28" t="str">
        <f aca="false">IF(V46="Defect","",IF(COUNT(G46:K46)&lt;5,"",ROUND(G46*Config!$B$4+H46*Config!$B$5+I46*Config!$B$6+J46*Config!$B$7+K46*Config!$B$8,2)))</f>
        <v/>
      </c>
      <c r="R46" s="28" t="str">
        <f aca="false">IF(L46="","",VLOOKUP(L46,Config!$A$12:$B$21,2,0))</f>
        <v/>
      </c>
      <c r="S46" s="28" t="str">
        <f aca="false">IF(N46="","",VLOOKUP(N46,Config!$D$12:$E$21,2,0))</f>
        <v/>
      </c>
      <c r="T46" s="29" t="str">
        <f aca="false">IF(V46="Defect",IF(OR(X46="",G46="",R46=""),"",ROUND(MIN(100,VLOOKUP(X46,Config!$G$12:$H$16,2,0)*VLOOKUP(G46,Config!$I$12:$J$21,2,0)*R46),1)),IF(OR(Q46="",R46="",S46="",M46=""),"",ROUND(MIN(100,Q46*R46*S46/M46*20),1)))</f>
        <v/>
      </c>
      <c r="U46" s="30" t="str">
        <f aca="false">IF(T46="","",RANK(T46,$T$4:$T$52))</f>
        <v/>
      </c>
      <c r="V46" s="36"/>
    </row>
    <row r="47" customFormat="false" ht="14.25" hidden="false" customHeight="true" outlineLevel="0" collapsed="false">
      <c r="A47" s="22"/>
      <c r="B47" s="23"/>
      <c r="C47" s="22"/>
      <c r="D47" s="22"/>
      <c r="E47" s="22"/>
      <c r="F47" s="22"/>
      <c r="G47" s="25"/>
      <c r="H47" s="25"/>
      <c r="I47" s="25"/>
      <c r="J47" s="25"/>
      <c r="K47" s="25"/>
      <c r="L47" s="25"/>
      <c r="M47" s="25"/>
      <c r="N47" s="25"/>
      <c r="O47" s="27"/>
      <c r="P47" s="27"/>
      <c r="Q47" s="28" t="str">
        <f aca="false">IF(V47="Defect","",IF(COUNT(G47:K47)&lt;5,"",ROUND(G47*Config!$B$4+H47*Config!$B$5+I47*Config!$B$6+J47*Config!$B$7+K47*Config!$B$8,2)))</f>
        <v/>
      </c>
      <c r="R47" s="28" t="str">
        <f aca="false">IF(L47="","",VLOOKUP(L47,Config!$A$12:$B$21,2,0))</f>
        <v/>
      </c>
      <c r="S47" s="28" t="str">
        <f aca="false">IF(N47="","",VLOOKUP(N47,Config!$D$12:$E$21,2,0))</f>
        <v/>
      </c>
      <c r="T47" s="29" t="str">
        <f aca="false">IF(V47="Defect",IF(OR(X47="",G47="",R47=""),"",ROUND(MIN(100,VLOOKUP(X47,Config!$G$12:$H$16,2,0)*VLOOKUP(G47,Config!$I$12:$J$21,2,0)*R47),1)),IF(OR(Q47="",R47="",S47="",M47=""),"",ROUND(MIN(100,Q47*R47*S47/M47*20),1)))</f>
        <v/>
      </c>
      <c r="U47" s="30" t="str">
        <f aca="false">IF(T47="","",RANK(T47,$T$4:$T$52))</f>
        <v/>
      </c>
      <c r="V47" s="36"/>
    </row>
    <row r="48" customFormat="false" ht="14.25" hidden="false" customHeight="true" outlineLevel="0" collapsed="false">
      <c r="A48" s="22"/>
      <c r="B48" s="23"/>
      <c r="C48" s="22"/>
      <c r="D48" s="22"/>
      <c r="E48" s="22"/>
      <c r="F48" s="22"/>
      <c r="G48" s="25"/>
      <c r="H48" s="25"/>
      <c r="I48" s="25"/>
      <c r="J48" s="25"/>
      <c r="K48" s="25"/>
      <c r="L48" s="25"/>
      <c r="M48" s="25"/>
      <c r="N48" s="25"/>
      <c r="O48" s="27"/>
      <c r="P48" s="27"/>
      <c r="Q48" s="28" t="str">
        <f aca="false">IF(V48="Defect","",IF(COUNT(G48:K48)&lt;5,"",ROUND(G48*Config!$B$4+H48*Config!$B$5+I48*Config!$B$6+J48*Config!$B$7+K48*Config!$B$8,2)))</f>
        <v/>
      </c>
      <c r="R48" s="28" t="str">
        <f aca="false">IF(L48="","",VLOOKUP(L48,Config!$A$12:$B$21,2,0))</f>
        <v/>
      </c>
      <c r="S48" s="28" t="str">
        <f aca="false">IF(N48="","",VLOOKUP(N48,Config!$D$12:$E$21,2,0))</f>
        <v/>
      </c>
      <c r="T48" s="29" t="str">
        <f aca="false">IF(V48="Defect",IF(OR(X48="",G48="",R48=""),"",ROUND(MIN(100,VLOOKUP(X48,Config!$G$12:$H$16,2,0)*VLOOKUP(G48,Config!$I$12:$J$21,2,0)*R48),1)),IF(OR(Q48="",R48="",S48="",M48=""),"",ROUND(MIN(100,Q48*R48*S48/M48*20),1)))</f>
        <v/>
      </c>
      <c r="U48" s="30" t="str">
        <f aca="false">IF(T48="","",RANK(T48,$T$4:$T$52))</f>
        <v/>
      </c>
      <c r="V48" s="36"/>
    </row>
    <row r="49" customFormat="false" ht="14.25" hidden="false" customHeight="true" outlineLevel="0" collapsed="false">
      <c r="A49" s="22"/>
      <c r="B49" s="23"/>
      <c r="C49" s="22"/>
      <c r="D49" s="22"/>
      <c r="E49" s="22"/>
      <c r="F49" s="22"/>
      <c r="G49" s="25"/>
      <c r="H49" s="25"/>
      <c r="I49" s="25"/>
      <c r="J49" s="25"/>
      <c r="K49" s="25"/>
      <c r="L49" s="25"/>
      <c r="M49" s="25"/>
      <c r="N49" s="25"/>
      <c r="O49" s="27"/>
      <c r="P49" s="27"/>
      <c r="Q49" s="28" t="str">
        <f aca="false">IF(V49="Defect","",IF(COUNT(G49:K49)&lt;5,"",ROUND(G49*Config!$B$4+H49*Config!$B$5+I49*Config!$B$6+J49*Config!$B$7+K49*Config!$B$8,2)))</f>
        <v/>
      </c>
      <c r="R49" s="28" t="str">
        <f aca="false">IF(L49="","",VLOOKUP(L49,Config!$A$12:$B$21,2,0))</f>
        <v/>
      </c>
      <c r="S49" s="28" t="str">
        <f aca="false">IF(N49="","",VLOOKUP(N49,Config!$D$12:$E$21,2,0))</f>
        <v/>
      </c>
      <c r="T49" s="29" t="str">
        <f aca="false">IF(V49="Defect",IF(OR(X49="",G49="",R49=""),"",ROUND(MIN(100,VLOOKUP(X49,Config!$G$12:$H$16,2,0)*VLOOKUP(G49,Config!$I$12:$J$21,2,0)*R49),1)),IF(OR(Q49="",R49="",S49="",M49=""),"",ROUND(MIN(100,Q49*R49*S49/M49*20),1)))</f>
        <v/>
      </c>
      <c r="U49" s="30" t="str">
        <f aca="false">IF(T49="","",RANK(T49,$T$4:$T$52))</f>
        <v/>
      </c>
      <c r="V49" s="36"/>
    </row>
    <row r="50" customFormat="false" ht="14.25" hidden="false" customHeight="true" outlineLevel="0" collapsed="false">
      <c r="A50" s="22"/>
      <c r="B50" s="23"/>
      <c r="C50" s="22"/>
      <c r="D50" s="22"/>
      <c r="E50" s="22"/>
      <c r="F50" s="22"/>
      <c r="G50" s="25"/>
      <c r="H50" s="25"/>
      <c r="I50" s="25"/>
      <c r="J50" s="25"/>
      <c r="K50" s="25"/>
      <c r="L50" s="25"/>
      <c r="M50" s="25"/>
      <c r="N50" s="25"/>
      <c r="O50" s="27"/>
      <c r="P50" s="27"/>
      <c r="Q50" s="28" t="str">
        <f aca="false">IF(V50="Defect","",IF(COUNT(G50:K50)&lt;5,"",ROUND(G50*Config!$B$4+H50*Config!$B$5+I50*Config!$B$6+J50*Config!$B$7+K50*Config!$B$8,2)))</f>
        <v/>
      </c>
      <c r="R50" s="28" t="str">
        <f aca="false">IF(L50="","",VLOOKUP(L50,Config!$A$12:$B$21,2,0))</f>
        <v/>
      </c>
      <c r="S50" s="28" t="str">
        <f aca="false">IF(N50="","",VLOOKUP(N50,Config!$D$12:$E$21,2,0))</f>
        <v/>
      </c>
      <c r="T50" s="29" t="str">
        <f aca="false">IF(V50="Defect",IF(OR(X50="",G50="",R50=""),"",ROUND(MIN(100,VLOOKUP(X50,Config!$G$12:$H$16,2,0)*VLOOKUP(G50,Config!$I$12:$J$21,2,0)*R50),1)),IF(OR(Q50="",R50="",S50="",M50=""),"",ROUND(MIN(100,Q50*R50*S50/M50*20),1)))</f>
        <v/>
      </c>
      <c r="U50" s="30" t="str">
        <f aca="false">IF(T50="","",RANK(T50,$T$4:$T$52))</f>
        <v/>
      </c>
      <c r="V50" s="36"/>
    </row>
    <row r="51" customFormat="false" ht="14.25" hidden="false" customHeight="true" outlineLevel="0" collapsed="false">
      <c r="A51" s="22"/>
      <c r="B51" s="23"/>
      <c r="C51" s="22"/>
      <c r="D51" s="22"/>
      <c r="E51" s="22"/>
      <c r="F51" s="22"/>
      <c r="G51" s="25"/>
      <c r="H51" s="25"/>
      <c r="I51" s="25"/>
      <c r="J51" s="25"/>
      <c r="K51" s="25"/>
      <c r="L51" s="25"/>
      <c r="M51" s="25"/>
      <c r="N51" s="25"/>
      <c r="O51" s="27"/>
      <c r="P51" s="27"/>
      <c r="Q51" s="28" t="str">
        <f aca="false">IF(V51="Defect","",IF(COUNT(G51:K51)&lt;5,"",ROUND(G51*Config!$B$4+H51*Config!$B$5+I51*Config!$B$6+J51*Config!$B$7+K51*Config!$B$8,2)))</f>
        <v/>
      </c>
      <c r="R51" s="28" t="str">
        <f aca="false">IF(L51="","",VLOOKUP(L51,Config!$A$12:$B$21,2,0))</f>
        <v/>
      </c>
      <c r="S51" s="28" t="str">
        <f aca="false">IF(N51="","",VLOOKUP(N51,Config!$D$12:$E$21,2,0))</f>
        <v/>
      </c>
      <c r="T51" s="29" t="str">
        <f aca="false">IF(V51="Defect",IF(OR(X51="",G51="",R51=""),"",ROUND(MIN(100,VLOOKUP(X51,Config!$G$12:$H$16,2,0)*VLOOKUP(G51,Config!$I$12:$J$21,2,0)*R51),1)),IF(OR(Q51="",R51="",S51="",M51=""),"",ROUND(MIN(100,Q51*R51*S51/M51*20),1)))</f>
        <v/>
      </c>
      <c r="U51" s="30" t="str">
        <f aca="false">IF(T51="","",RANK(T51,$T$4:$T$52))</f>
        <v/>
      </c>
      <c r="V51" s="36"/>
    </row>
    <row r="52" customFormat="false" ht="14.25" hidden="false" customHeight="true" outlineLevel="0" collapsed="false">
      <c r="A52" s="22"/>
      <c r="B52" s="23"/>
      <c r="C52" s="22"/>
      <c r="D52" s="22"/>
      <c r="E52" s="22"/>
      <c r="F52" s="22"/>
      <c r="G52" s="25"/>
      <c r="H52" s="25"/>
      <c r="I52" s="25"/>
      <c r="J52" s="25"/>
      <c r="K52" s="25"/>
      <c r="L52" s="25"/>
      <c r="M52" s="25"/>
      <c r="N52" s="25"/>
      <c r="O52" s="27"/>
      <c r="P52" s="27"/>
      <c r="Q52" s="28" t="str">
        <f aca="false">IF(V52="Defect","",IF(COUNT(G52:K52)&lt;5,"",ROUND(G52*Config!$B$4+H52*Config!$B$5+I52*Config!$B$6+J52*Config!$B$7+K52*Config!$B$8,2)))</f>
        <v/>
      </c>
      <c r="R52" s="28" t="str">
        <f aca="false">IF(L52="","",VLOOKUP(L52,Config!$A$12:$B$21,2,0))</f>
        <v/>
      </c>
      <c r="S52" s="28" t="str">
        <f aca="false">IF(N52="","",VLOOKUP(N52,Config!$D$12:$E$21,2,0))</f>
        <v/>
      </c>
      <c r="T52" s="29" t="str">
        <f aca="false">IF(V52="Defect",IF(OR(X52="",G52="",R52=""),"",ROUND(MIN(100,VLOOKUP(X52,Config!$G$12:$H$16,2,0)*VLOOKUP(G52,Config!$I$12:$J$21,2,0)*R52),1)),IF(OR(Q52="",R52="",S52="",M52=""),"",ROUND(MIN(100,Q52*R52*S52/M52*20),1)))</f>
        <v/>
      </c>
      <c r="U52" s="30" t="str">
        <f aca="false">IF(T52="","",RANK(T52,$T$4:$T$52))</f>
        <v/>
      </c>
      <c r="V52" s="36"/>
    </row>
  </sheetData>
  <dataValidations count="6">
    <dataValidation allowBlank="true" error="Scores must be whole numbers 1-5. See Rubric sheet for anchors." errorStyle="stop" operator="between" showDropDown="false" showErrorMessage="true" showInputMessage="false" sqref="G4:N52" type="whole">
      <formula1>1</formula1>
      <formula2>10</formula2>
    </dataValidation>
    <dataValidation allowBlank="true" errorStyle="stop" operator="between" showDropDown="false" showErrorMessage="false" showInputMessage="false" sqref="E4:E52" type="list">
      <formula1>"Human,Market Research Agent,Hybrid"</formula1>
      <formula2>0</formula2>
    </dataValidation>
    <dataValidation allowBlank="true" errorStyle="stop" operator="between" showDropDown="false" showErrorMessage="false" showInputMessage="false" sqref="D4:D52" type="list">
      <formula1>"Idea,Brief Drafted,Reported,Triaged,Scored,Prioritized,In Progress,Fixed,Verified,Deferred,Rejected,Won't Fix"</formula1>
      <formula2>0</formula2>
    </dataValidation>
    <dataValidation allowBlank="true" errorStyle="stop" operator="between" showDropDown="false" showErrorMessage="false" showInputMessage="false" sqref="V4:V52" type="list">
      <formula1>"Feature,Defect"</formula1>
      <formula2>0</formula2>
    </dataValidation>
    <dataValidation allowBlank="true" errorStyle="stop" operator="between" showDropDown="false" showErrorMessage="false" showInputMessage="false" sqref="W4:W52" type="list">
      <formula1>"Customer-Reported,Internal"</formula1>
      <formula2>0</formula2>
    </dataValidation>
    <dataValidation allowBlank="true" errorStyle="stop" operator="between" prompt="Whole number 1-5; see Rubric Severity row (Defect rows only)." showDropDown="false" showErrorMessage="false" showInputMessage="false" sqref="X4:X52" type="whole">
      <formula1>1</formula1>
      <formula2>5</formula2>
    </dataValidation>
  </dataValidations>
  <hyperlinks>
    <hyperlink ref="O4" r:id="rId1" display="VERIFIED IN-REPO (2026-07-07): Read briefs/F-001-adhere-to-design-system.md and confirmed every current-state baseline claim exactly against source: web/src/index.css = 723 lines with 30 CSS custom-property definitions and dual theming (:root dark default + [data-theme='light'] + @media prefers-color-scheme:light); exactly 143 className= usages across 22 .tsx files; five independent feature areas (diagnostics, raweditor, settings, users, workspaces under web/src/features/); exactly three shared components (DangerConfirm, ErrorBanner, SetNotSetBadge in web/src/components/). ANALOGOUS INDUSTRY BENCHMARKS (WebSearch 2026-07-07, general-category / low project-specificity): Sparkbox &quot;Value of Design Systems&quot; (dev efficiency ~47%), Figma internal (34% faster task completion with system), Atlassian (up to 65% dev-time reduction), and ROI syntheses (lollypop.design, netguru, Smashing Magazine 2022) citing 135-170% 5-yr ROI and ~34% of dev cycles spent recreating components. COULD NOT VERIFY: Claude Design project at https://claude.ai/design/p/4c97b85d-5482-401b-b1b3-12df2a9d8d66 returned HTTP 403 (auth-gated) - its actual contents (tokens vs. full component set, light+dark coverage, mapping to console patterns) remain unverified; claude_design MCP re-import/sync cadence unverified. NO PROJECT-SPECIFIC DEMAND EVIDENCE: per the environment limitation, no support-ticket system, operator interviews, or usage-analytics dashboard exists for this internal tool - operator pain and payoff magnitude are unmeasured. Internal operator base size unconfirmed; October 2026 GTM hard-vs-soft status unconfirmed."/>
    <hyperlink ref="C10" r:id="rId2" display="https://github.com/dispatch-derek/admin-console/issues/7"/>
    <hyperlink ref="C12" r:id="rId3" display="https://github.com/dispatch-derek/admin-console/issues/9"/>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0" activeCellId="0" sqref="F10"/>
    </sheetView>
  </sheetViews>
  <sheetFormatPr defaultColWidth="8.63671875" defaultRowHeight="14.25" customHeight="false" zeroHeight="false" outlineLevelRow="0" outlineLevelCol="0"/>
  <cols>
    <col collapsed="false" customWidth="true" hidden="false" outlineLevel="0" max="1" min="1" style="1" width="24"/>
    <col collapsed="false" customWidth="true" hidden="false" outlineLevel="0" max="2" min="2" style="1" width="22"/>
    <col collapsed="false" customWidth="true" hidden="false" outlineLevel="0" max="3" min="3" style="1" width="12"/>
    <col collapsed="false" customWidth="true" hidden="false" outlineLevel="0" max="4" min="4" style="1" width="46"/>
    <col collapsed="false" customWidth="true" hidden="false" outlineLevel="0" max="5" min="5" style="1" width="26"/>
    <col collapsed="false" customWidth="true" hidden="false" outlineLevel="0" max="6" min="6" style="1" width="60"/>
  </cols>
  <sheetData>
    <row r="1" customFormat="false" ht="15" hidden="false" customHeight="true" outlineLevel="0" collapsed="false">
      <c r="A1" s="5" t="s">
        <v>260</v>
      </c>
    </row>
    <row r="3" customFormat="false" ht="14.25" hidden="false" customHeight="true" outlineLevel="0" collapsed="false">
      <c r="A3" s="37" t="s">
        <v>261</v>
      </c>
      <c r="B3" s="37" t="s">
        <v>262</v>
      </c>
      <c r="C3" s="37" t="s">
        <v>263</v>
      </c>
      <c r="D3" s="37" t="s">
        <v>264</v>
      </c>
      <c r="E3" s="37" t="s">
        <v>265</v>
      </c>
      <c r="F3" s="37" t="s">
        <v>266</v>
      </c>
    </row>
    <row r="4" customFormat="false" ht="14.25" hidden="false" customHeight="true" outlineLevel="0" collapsed="false">
      <c r="A4" s="18" t="s">
        <v>267</v>
      </c>
      <c r="B4" s="18" t="s">
        <v>268</v>
      </c>
      <c r="C4" s="18" t="s">
        <v>269</v>
      </c>
      <c r="D4" s="18" t="s">
        <v>270</v>
      </c>
      <c r="E4" s="18" t="s">
        <v>271</v>
      </c>
      <c r="F4" s="18" t="s">
        <v>272</v>
      </c>
    </row>
    <row r="5" customFormat="false" ht="14.25" hidden="false" customHeight="true" outlineLevel="0" collapsed="false">
      <c r="A5" s="18" t="s">
        <v>273</v>
      </c>
      <c r="B5" s="18" t="s">
        <v>274</v>
      </c>
      <c r="C5" s="18" t="s">
        <v>269</v>
      </c>
      <c r="D5" s="18" t="s">
        <v>275</v>
      </c>
      <c r="E5" s="18" t="s">
        <v>271</v>
      </c>
      <c r="F5" s="18" t="s">
        <v>276</v>
      </c>
    </row>
    <row r="6" customFormat="false" ht="26.25" hidden="false" customHeight="true" outlineLevel="0" collapsed="false">
      <c r="A6" s="18" t="s">
        <v>277</v>
      </c>
      <c r="B6" s="18" t="s">
        <v>278</v>
      </c>
      <c r="C6" s="18" t="s">
        <v>269</v>
      </c>
      <c r="D6" s="18" t="s">
        <v>279</v>
      </c>
      <c r="E6" s="18" t="s">
        <v>271</v>
      </c>
      <c r="F6" s="18" t="s">
        <v>280</v>
      </c>
    </row>
    <row r="7" customFormat="false" ht="27.75" hidden="false" customHeight="true" outlineLevel="0" collapsed="false">
      <c r="A7" s="18" t="s">
        <v>281</v>
      </c>
      <c r="B7" s="18" t="s">
        <v>282</v>
      </c>
      <c r="C7" s="18" t="s">
        <v>283</v>
      </c>
      <c r="D7" s="18" t="s">
        <v>284</v>
      </c>
      <c r="E7" s="18" t="s">
        <v>285</v>
      </c>
      <c r="F7" s="18" t="s">
        <v>286</v>
      </c>
    </row>
    <row r="8" customFormat="false" ht="14.25" hidden="false" customHeight="true" outlineLevel="0" collapsed="false">
      <c r="A8" s="18" t="s">
        <v>287</v>
      </c>
      <c r="B8" s="18" t="s">
        <v>288</v>
      </c>
      <c r="C8" s="18" t="s">
        <v>283</v>
      </c>
      <c r="D8" s="18" t="s">
        <v>289</v>
      </c>
      <c r="E8" s="18" t="s">
        <v>290</v>
      </c>
      <c r="F8" s="18" t="s">
        <v>291</v>
      </c>
    </row>
    <row r="9" customFormat="false" ht="14.25" hidden="false" customHeight="true" outlineLevel="0" collapsed="false">
      <c r="A9" s="18" t="s">
        <v>292</v>
      </c>
      <c r="B9" s="18" t="s">
        <v>293</v>
      </c>
      <c r="C9" s="18" t="s">
        <v>294</v>
      </c>
      <c r="D9" s="18" t="s">
        <v>295</v>
      </c>
      <c r="E9" s="18" t="s">
        <v>290</v>
      </c>
      <c r="F9" s="18" t="s">
        <v>296</v>
      </c>
    </row>
    <row r="10" customFormat="false" ht="26.25" hidden="false" customHeight="true" outlineLevel="0" collapsed="false">
      <c r="A10" s="18" t="s">
        <v>297</v>
      </c>
      <c r="B10" s="18" t="s">
        <v>298</v>
      </c>
      <c r="C10" s="18" t="s">
        <v>299</v>
      </c>
      <c r="D10" s="18" t="s">
        <v>300</v>
      </c>
      <c r="E10" s="18" t="s">
        <v>301</v>
      </c>
      <c r="F10" s="18" t="s">
        <v>302</v>
      </c>
    </row>
    <row r="11" customFormat="false" ht="14.25" hidden="false" customHeight="true" outlineLevel="0" collapsed="false">
      <c r="A11" s="18" t="s">
        <v>303</v>
      </c>
      <c r="B11" s="18" t="s">
        <v>304</v>
      </c>
      <c r="C11" s="18" t="s">
        <v>299</v>
      </c>
      <c r="D11" s="18" t="s">
        <v>300</v>
      </c>
      <c r="E11" s="18" t="s">
        <v>301</v>
      </c>
      <c r="F11" s="18" t="s">
        <v>305</v>
      </c>
    </row>
    <row r="12" customFormat="false" ht="14.25" hidden="false" customHeight="true" outlineLevel="0" collapsed="false">
      <c r="A12" s="18" t="s">
        <v>306</v>
      </c>
      <c r="B12" s="18" t="s">
        <v>307</v>
      </c>
      <c r="C12" s="18" t="s">
        <v>299</v>
      </c>
      <c r="D12" s="18" t="s">
        <v>300</v>
      </c>
      <c r="E12" s="18" t="s">
        <v>301</v>
      </c>
      <c r="F12" s="18" t="s">
        <v>308</v>
      </c>
    </row>
    <row r="13" customFormat="false" ht="26.25" hidden="false" customHeight="true" outlineLevel="0" collapsed="false">
      <c r="A13" s="18" t="s">
        <v>309</v>
      </c>
      <c r="B13" s="18" t="s">
        <v>310</v>
      </c>
      <c r="C13" s="18" t="s">
        <v>299</v>
      </c>
      <c r="D13" s="18" t="s">
        <v>300</v>
      </c>
      <c r="E13" s="18" t="s">
        <v>271</v>
      </c>
      <c r="F13" s="18" t="s">
        <v>311</v>
      </c>
    </row>
    <row r="14" customFormat="false" ht="14.25" hidden="false" customHeight="true" outlineLevel="0" collapsed="false">
      <c r="A14" s="18" t="s">
        <v>312</v>
      </c>
      <c r="B14" s="18" t="s">
        <v>313</v>
      </c>
      <c r="C14" s="18" t="s">
        <v>299</v>
      </c>
      <c r="D14" s="18" t="s">
        <v>300</v>
      </c>
      <c r="E14" s="18" t="s">
        <v>301</v>
      </c>
      <c r="F14" s="18" t="s">
        <v>314</v>
      </c>
    </row>
    <row r="15" customFormat="false" ht="39" hidden="false" customHeight="true" outlineLevel="0" collapsed="false">
      <c r="A15" s="18" t="s">
        <v>315</v>
      </c>
      <c r="B15" s="18" t="s">
        <v>316</v>
      </c>
      <c r="C15" s="18" t="s">
        <v>299</v>
      </c>
      <c r="D15" s="18" t="s">
        <v>300</v>
      </c>
      <c r="E15" s="18" t="s">
        <v>290</v>
      </c>
      <c r="F15" s="18" t="s">
        <v>317</v>
      </c>
    </row>
    <row r="16" customFormat="false" ht="26.25" hidden="false" customHeight="true" outlineLevel="0" collapsed="false">
      <c r="A16" s="18" t="s">
        <v>318</v>
      </c>
      <c r="B16" s="18" t="s">
        <v>319</v>
      </c>
      <c r="C16" s="18" t="s">
        <v>299</v>
      </c>
      <c r="D16" s="18" t="s">
        <v>300</v>
      </c>
      <c r="E16" s="18" t="s">
        <v>320</v>
      </c>
      <c r="F16" s="18" t="s">
        <v>321</v>
      </c>
    </row>
    <row r="17" customFormat="false" ht="26.25" hidden="false" customHeight="true" outlineLevel="0" collapsed="false">
      <c r="A17" s="18" t="s">
        <v>322</v>
      </c>
      <c r="B17" s="18" t="s">
        <v>323</v>
      </c>
      <c r="C17" s="18" t="s">
        <v>299</v>
      </c>
      <c r="D17" s="18" t="s">
        <v>300</v>
      </c>
      <c r="E17" s="18" t="s">
        <v>271</v>
      </c>
      <c r="F17" s="18" t="s">
        <v>324</v>
      </c>
    </row>
    <row r="18" customFormat="false" ht="27.75" hidden="false" customHeight="true" outlineLevel="0" collapsed="false">
      <c r="A18" s="18" t="s">
        <v>325</v>
      </c>
      <c r="B18" s="18" t="s">
        <v>326</v>
      </c>
      <c r="C18" s="18" t="s">
        <v>269</v>
      </c>
      <c r="D18" s="18" t="s">
        <v>327</v>
      </c>
      <c r="E18" s="18" t="s">
        <v>290</v>
      </c>
      <c r="F18" s="18" t="s">
        <v>328</v>
      </c>
    </row>
    <row r="19" customFormat="false" ht="14.25" hidden="false" customHeight="true" outlineLevel="0" collapsed="false">
      <c r="A19" s="18" t="s">
        <v>329</v>
      </c>
      <c r="B19" s="18" t="s">
        <v>330</v>
      </c>
      <c r="C19" s="18" t="s">
        <v>269</v>
      </c>
      <c r="D19" s="18" t="s">
        <v>275</v>
      </c>
      <c r="E19" s="18" t="s">
        <v>290</v>
      </c>
      <c r="F19" s="18" t="s">
        <v>331</v>
      </c>
    </row>
    <row r="20" customFormat="false" ht="26.25" hidden="false" customHeight="true" outlineLevel="0" collapsed="false">
      <c r="A20" s="18" t="s">
        <v>332</v>
      </c>
      <c r="B20" s="18" t="s">
        <v>333</v>
      </c>
      <c r="C20" s="18" t="s">
        <v>334</v>
      </c>
      <c r="D20" s="18" t="s">
        <v>335</v>
      </c>
      <c r="E20" s="18" t="s">
        <v>336</v>
      </c>
      <c r="F20" s="18" t="s">
        <v>337</v>
      </c>
    </row>
    <row r="21" customFormat="false" ht="14.25" hidden="false" customHeight="true" outlineLevel="0" collapsed="false">
      <c r="A21" s="18" t="s">
        <v>338</v>
      </c>
      <c r="B21" s="18" t="s">
        <v>339</v>
      </c>
      <c r="C21" s="18" t="s">
        <v>334</v>
      </c>
      <c r="D21" s="18" t="s">
        <v>340</v>
      </c>
      <c r="E21" s="18" t="s">
        <v>336</v>
      </c>
      <c r="F21" s="18" t="s">
        <v>341</v>
      </c>
    </row>
    <row r="22" customFormat="false" ht="14.25" hidden="false" customHeight="true" outlineLevel="0" collapsed="false">
      <c r="A22" s="18" t="s">
        <v>342</v>
      </c>
      <c r="B22" s="18" t="s">
        <v>343</v>
      </c>
      <c r="C22" s="18" t="s">
        <v>334</v>
      </c>
      <c r="D22" s="18" t="s">
        <v>344</v>
      </c>
      <c r="E22" s="18" t="s">
        <v>336</v>
      </c>
      <c r="F22" s="18" t="s">
        <v>345</v>
      </c>
    </row>
    <row r="23" customFormat="false" ht="51.75" hidden="false" customHeight="true" outlineLevel="0" collapsed="false">
      <c r="A23" s="18" t="s">
        <v>346</v>
      </c>
      <c r="B23" s="18" t="s">
        <v>347</v>
      </c>
      <c r="C23" s="18" t="s">
        <v>334</v>
      </c>
      <c r="D23" s="18" t="s">
        <v>348</v>
      </c>
      <c r="E23" s="18" t="s">
        <v>336</v>
      </c>
      <c r="F23" s="18" t="s">
        <v>349</v>
      </c>
    </row>
    <row r="24" customFormat="false" ht="14.25" hidden="false" customHeight="true" outlineLevel="0" collapsed="false">
      <c r="A24" s="18" t="s">
        <v>350</v>
      </c>
      <c r="B24" s="18" t="s">
        <v>351</v>
      </c>
      <c r="C24" s="18" t="s">
        <v>334</v>
      </c>
      <c r="D24" s="18" t="s">
        <v>352</v>
      </c>
      <c r="E24" s="18" t="s">
        <v>336</v>
      </c>
      <c r="F24" s="18" t="s">
        <v>353</v>
      </c>
    </row>
    <row r="25" customFormat="false" ht="39" hidden="false" customHeight="true" outlineLevel="0" collapsed="false">
      <c r="A25" s="18" t="s">
        <v>354</v>
      </c>
      <c r="B25" s="18" t="s">
        <v>355</v>
      </c>
      <c r="C25" s="18" t="s">
        <v>283</v>
      </c>
      <c r="D25" s="18" t="s">
        <v>356</v>
      </c>
      <c r="E25" s="18" t="s">
        <v>271</v>
      </c>
      <c r="F25" s="18" t="s">
        <v>357</v>
      </c>
    </row>
    <row r="26" customFormat="false" ht="26.25" hidden="false" customHeight="true" outlineLevel="0" collapsed="false">
      <c r="A26" s="18" t="s">
        <v>358</v>
      </c>
      <c r="B26" s="18" t="s">
        <v>359</v>
      </c>
      <c r="C26" s="18" t="s">
        <v>283</v>
      </c>
      <c r="D26" s="18" t="s">
        <v>360</v>
      </c>
      <c r="E26" s="18" t="s">
        <v>361</v>
      </c>
      <c r="F26" s="18" t="s">
        <v>362</v>
      </c>
    </row>
    <row r="27" customFormat="false" ht="51.75" hidden="false" customHeight="true" outlineLevel="0" collapsed="false">
      <c r="A27" s="18" t="s">
        <v>363</v>
      </c>
      <c r="B27" s="18" t="s">
        <v>364</v>
      </c>
      <c r="C27" s="18" t="s">
        <v>299</v>
      </c>
      <c r="D27" s="18" t="s">
        <v>365</v>
      </c>
      <c r="E27" s="18" t="s">
        <v>366</v>
      </c>
      <c r="F27" s="18" t="s">
        <v>367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2026-07-05T22:54:23Z</dcterms:created>
  <dc:creator>openpyxl</dc:creator>
  <dc:description/>
  <dc:language>en-US</dc:language>
  <cp:lastModifiedBy>Derek MacKie</cp:lastModifiedBy>
  <dcterms:modified xsi:type="dcterms:W3CDTF">2026-07-20T06:35:31Z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